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nsc\OneDrive\Documents\GitHub\Compliance-Compass\"/>
    </mc:Choice>
  </mc:AlternateContent>
  <xr:revisionPtr revIDLastSave="0" documentId="8_{57618FE4-26E5-48EC-81B3-224A12F326BF}" xr6:coauthVersionLast="47" xr6:coauthVersionMax="47" xr10:uidLastSave="{00000000-0000-0000-0000-000000000000}"/>
  <bookViews>
    <workbookView xWindow="-72120" yWindow="45" windowWidth="29040" windowHeight="15720" tabRatio="500" activeTab="2" xr2:uid="{00000000-000D-0000-FFFF-FFFF00000000}"/>
  </bookViews>
  <sheets>
    <sheet name="READ ME FIRST" sheetId="1" r:id="rId1"/>
    <sheet name="Users &amp; Roles" sheetId="2" r:id="rId2"/>
    <sheet name="Suppliers" sheetId="3" r:id="rId3"/>
    <sheet name="Supplier Quals" sheetId="4" r:id="rId4"/>
    <sheet name="Inspections" sheetId="5" r:id="rId5"/>
    <sheet name="Inventory" sheetId="6" r:id="rId6"/>
    <sheet name="Lots" sheetId="7" r:id="rId7"/>
    <sheet name="Recipes" sheetId="8" r:id="rId8"/>
    <sheet name="Batches" sheetId="9" r:id="rId9"/>
    <sheet name="Test Results (COAs)" sheetId="10" r:id="rId10"/>
    <sheet name="Quality Events" sheetId="11" r:id="rId11"/>
    <sheet name="OQ Run Sheet" sheetId="12" r:id="rId12"/>
    <sheet name="OQ Summary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3" l="1"/>
  <c r="B5" i="13"/>
  <c r="B4" i="13"/>
  <c r="B3" i="13"/>
</calcChain>
</file>

<file path=xl/sharedStrings.xml><?xml version="1.0" encoding="utf-8"?>
<sst xmlns="http://schemas.openxmlformats.org/spreadsheetml/2006/main" count="856" uniqueCount="575">
  <si>
    <t>CannaQ — Operational Qualification (OQ) Sample Data</t>
  </si>
  <si>
    <t>Fictional facility: Northwoods Cannabis Co. (Michigan adult-use processor)</t>
  </si>
  <si>
    <t>PURPOSE</t>
  </si>
  <si>
    <t>A complete, internally-consistent dataset to hand-enter into CannaQ so every function is exercised end-to-end (suppliers → inspections → inventory → batches → testing → labeling → quality events), plus deliberate fail / segregation cases that SHOULD be blocked. Pair this with the Word OQ Protocol, which gives the numbered test steps, expected results, and sign-off.</t>
  </si>
  <si>
    <t>HOW TO USE</t>
  </si>
  <si>
    <t>1. Set up the test accounts on the 'Users &amp; Roles' tab first (Clerk +clerk_test addresses, verification code 424242).</t>
  </si>
  <si>
    <t>2. Enter data tab-by-tab in order (left to right). Names, lot numbers and batch numbers are reused across tabs — keep them identical so records trace.</t>
  </si>
  <si>
    <t>3. Rows shaded RED are INTENTIONAL FAILS — the system should reject them. Confirm you get the expected error.</t>
  </si>
  <si>
    <t>4. Record Pass/Fail, initials and date on the 'OQ Run Sheet' tab (or in the Word protocol) as you go.</t>
  </si>
  <si>
    <t>CONVENTIONS</t>
  </si>
  <si>
    <t>• Records are soft-cancelled, never hard-deleted (Cancel = reason + Part 11 e-signature; Reopen is Admin-only).</t>
  </si>
  <si>
    <t>• Record-number gaps are expected and not a bug. Numbers continue from the maximum.</t>
  </si>
  <si>
    <t>• METRC tags / lot numbers vary by state — entered as-is, no format enforcement. The process-start METRC tag IS the batch number.</t>
  </si>
  <si>
    <t>• Operator initials must be UNIQUE — they are the e-signature identity (21 CFR Part 11).</t>
  </si>
  <si>
    <t>LEGEND</t>
  </si>
  <si>
    <t xml:space="preserve">   Intentional fail / should be blocked   </t>
  </si>
  <si>
    <t xml:space="preserve">   Part 11 / role-segregation checkpoint   </t>
  </si>
  <si>
    <t xml:space="preserve">   New this build (Session 75/76) — quality-event front door + FA request/approval   </t>
  </si>
  <si>
    <t>Users &amp; Roles</t>
  </si>
  <si>
    <t>Create these first. New logins auto-provision as Operator; an Admin sets each role. Initials must be unique (Part 11).</t>
  </si>
  <si>
    <t>#</t>
  </si>
  <si>
    <t>Full Name</t>
  </si>
  <si>
    <t>Role</t>
  </si>
  <si>
    <t>Login email (Clerk +clerk_test)</t>
  </si>
  <si>
    <t>Initials</t>
  </si>
  <si>
    <t>Verify code</t>
  </si>
  <si>
    <t>Notes</t>
  </si>
  <si>
    <t>Jonathan Schultz</t>
  </si>
  <si>
    <t>Admin</t>
  </si>
  <si>
    <t>(your existing admin account)</t>
  </si>
  <si>
    <t>JS</t>
  </si>
  <si>
    <t>—</t>
  </si>
  <si>
    <t>Bootstrap admin; sets everyone else's role.</t>
  </si>
  <si>
    <t>Quentin Lake</t>
  </si>
  <si>
    <t>Quality</t>
  </si>
  <si>
    <t>quality1+clerk_test@example.com</t>
  </si>
  <si>
    <t>QL</t>
  </si>
  <si>
    <t>424242</t>
  </si>
  <si>
    <t>Primary Quality approver.</t>
  </si>
  <si>
    <t>Quinn Rivera</t>
  </si>
  <si>
    <t>quality2+clerk_test@example.com</t>
  </si>
  <si>
    <t>QR</t>
  </si>
  <si>
    <t>Second Quality user — for Gate 1 two-approver tests.</t>
  </si>
  <si>
    <t>Marcus Reed</t>
  </si>
  <si>
    <t>Manager</t>
  </si>
  <si>
    <t>manager1+clerk_test@example.com</t>
  </si>
  <si>
    <t>MR</t>
  </si>
  <si>
    <t>Approver / CAPA action owner.</t>
  </si>
  <si>
    <t>Maria Delgado</t>
  </si>
  <si>
    <t>manager2+clerk_test@example.com</t>
  </si>
  <si>
    <t>MD</t>
  </si>
  <si>
    <t>Second Manager — segregation tests.</t>
  </si>
  <si>
    <t>Sam Porter</t>
  </si>
  <si>
    <t>Supervisor</t>
  </si>
  <si>
    <t>super1+clerk_test@example.com</t>
  </si>
  <si>
    <t>SP</t>
  </si>
  <si>
    <t>Approver (close FA/NC, lot split).</t>
  </si>
  <si>
    <t>Sofia Nguyen</t>
  </si>
  <si>
    <t>super2+clerk_test@example.com</t>
  </si>
  <si>
    <t>SN</t>
  </si>
  <si>
    <t>Second Supervisor / CAPA action owner.</t>
  </si>
  <si>
    <t>Olivia Park</t>
  </si>
  <si>
    <t>Operator</t>
  </si>
  <si>
    <t>operator1+clerk_test@example.com</t>
  </si>
  <si>
    <t>OP</t>
  </si>
  <si>
    <t>Batch operator / baker; raises NCs, requests FAs.</t>
  </si>
  <si>
    <t>Owen Brooks</t>
  </si>
  <si>
    <t>operator2+clerk_test@example.com</t>
  </si>
  <si>
    <t>OB</t>
  </si>
  <si>
    <t>Second operator / co-sign tests.</t>
  </si>
  <si>
    <t>Oscar Pena (DO NOT EXPECT SUCCESS)</t>
  </si>
  <si>
    <t>operator3+clerk_test@example.com</t>
  </si>
  <si>
    <t>INTENTIONAL FAIL: initials 'OP' already used by Olivia Park. Adding must be REJECTED (409 'Initials "OP" are already in use'). Change to 'OPe' to succeed.</t>
  </si>
  <si>
    <t>Suppliers</t>
  </si>
  <si>
    <t>Approved vendors for cannabis material, packaging, testing, and food inputs. The last row is intentionally NOT approved.</t>
  </si>
  <si>
    <t>Supplier Name</t>
  </si>
  <si>
    <t>Type</t>
  </si>
  <si>
    <t>License #</t>
  </si>
  <si>
    <t>Status</t>
  </si>
  <si>
    <t>Risk Tier</t>
  </si>
  <si>
    <t>Risk Tier Rationale</t>
  </si>
  <si>
    <t>Contact</t>
  </si>
  <si>
    <t>Email</t>
  </si>
  <si>
    <t>Phone</t>
  </si>
  <si>
    <t>Supplies</t>
  </si>
  <si>
    <t>Green Valley Cultivation LLC</t>
  </si>
  <si>
    <t>Cannabis Cultivator</t>
  </si>
  <si>
    <t>AU-C-000123</t>
  </si>
  <si>
    <t>Approved</t>
  </si>
  <si>
    <t>Critical</t>
  </si>
  <si>
    <t>Direct cannabis input (flower) consumed in batches.</t>
  </si>
  <si>
    <t>Dana Green</t>
  </si>
  <si>
    <t>dana@greenvalley.test</t>
  </si>
  <si>
    <t>(231) 555-0142</t>
  </si>
  <si>
    <t>Flower (Blue Dream, Northern Lights, Sour Diesel)</t>
  </si>
  <si>
    <t>PureExtract Processors LLC</t>
  </si>
  <si>
    <t>Cannabis Processor</t>
  </si>
  <si>
    <t>PR-000456</t>
  </si>
  <si>
    <t>Supplies THC distillate used in edibles + vapes; direct potency-bearing input.</t>
  </si>
  <si>
    <t>Raj Patel</t>
  </si>
  <si>
    <t>qa@pureextract.test</t>
  </si>
  <si>
    <t>(616) 555-0177</t>
  </si>
  <si>
    <t>THC distillate</t>
  </si>
  <si>
    <t>VapeTech Hardware Supply</t>
  </si>
  <si>
    <t>Equipment Supplier</t>
  </si>
  <si>
    <t>Medium</t>
  </si>
  <si>
    <t>Standard hardware vendor, established history.</t>
  </si>
  <si>
    <t>Lily Chen</t>
  </si>
  <si>
    <t>sales@vapetech.test</t>
  </si>
  <si>
    <t>(248) 555-0190</t>
  </si>
  <si>
    <t>CCELL TH2 cartridges</t>
  </si>
  <si>
    <t>ClearPack Solutions</t>
  </si>
  <si>
    <t>Packaging Supplier</t>
  </si>
  <si>
    <t>Food/cannabis-contact packaging; standard vendor.</t>
  </si>
  <si>
    <t>Tom Hale</t>
  </si>
  <si>
    <t>orders@clearpack.test</t>
  </si>
  <si>
    <t>(313) 555-0123</t>
  </si>
  <si>
    <t>Mylar pouches, glass jars, cart boxes</t>
  </si>
  <si>
    <t>GreenLeaf Analytics</t>
  </si>
  <si>
    <t>Testing Laboratory</t>
  </si>
  <si>
    <t>SL-000789</t>
  </si>
  <si>
    <t>Low</t>
  </si>
  <si>
    <t>State-licensed lab, long track record; COA source.</t>
  </si>
  <si>
    <t>Dr. Amy Cole</t>
  </si>
  <si>
    <t>results@greenleaflab.test</t>
  </si>
  <si>
    <t>(517) 555-0166</t>
  </si>
  <si>
    <t>COAs (potency, pesticides, micro, metals)</t>
  </si>
  <si>
    <t>Sweet Source Foods</t>
  </si>
  <si>
    <t>Raw Material Supplier</t>
  </si>
  <si>
    <t>FDA-registered food ingredient vendor.</t>
  </si>
  <si>
    <t>Bea Fields</t>
  </si>
  <si>
    <t>sales@sweetsource.test</t>
  </si>
  <si>
    <t>(269) 555-0181</t>
  </si>
  <si>
    <t>Cane sugar, pectin, natural flavor</t>
  </si>
  <si>
    <t>Unverified Terpene Imports</t>
  </si>
  <si>
    <t>(pending)</t>
  </si>
  <si>
    <t>License Pending</t>
  </si>
  <si>
    <t>High</t>
  </si>
  <si>
    <t>New vendor, no Michigan track record; documentation incomplete.</t>
  </si>
  <si>
    <t>info@uvterp.test</t>
  </si>
  <si>
    <t>(000) 000-0000</t>
  </si>
  <si>
    <t>INTENTIONAL: NOT approved. Use to confirm an unapproved supplier is flagged and cannot pass qualification yet.</t>
  </si>
  <si>
    <t>Supplier Qualifications</t>
  </si>
  <si>
    <t>Initial / re-qualification records. One is intentionally expired (overdue re-qual); the unapproved vendor has an open For-Cause review.</t>
  </si>
  <si>
    <t>Supplier</t>
  </si>
  <si>
    <t>Qualification Type</t>
  </si>
  <si>
    <t>Risk Level</t>
  </si>
  <si>
    <t>Lead Assessor</t>
  </si>
  <si>
    <t>Assessment Date</t>
  </si>
  <si>
    <t>Expiry Date</t>
  </si>
  <si>
    <t>Initial Qualification</t>
  </si>
  <si>
    <t>2026-01-15</t>
  </si>
  <si>
    <t>2027-01-15</t>
  </si>
  <si>
    <t>License + COAs on file; site audit passed.</t>
  </si>
  <si>
    <t>2026-02-01</t>
  </si>
  <si>
    <t>2027-02-01</t>
  </si>
  <si>
    <t>Distillate COAs reviewed; solvent panel acceptable.</t>
  </si>
  <si>
    <t>2026-02-10</t>
  </si>
  <si>
    <t>2027-02-10</t>
  </si>
  <si>
    <t>Heavy-metal leach certs reviewed.</t>
  </si>
  <si>
    <t>2026-02-12</t>
  </si>
  <si>
    <t>2027-02-12</t>
  </si>
  <si>
    <t>Food-contact compliance docs on file.</t>
  </si>
  <si>
    <t>2026-01-20</t>
  </si>
  <si>
    <t>2027-01-20</t>
  </si>
  <si>
    <t>ISO 17025 scope verified.</t>
  </si>
  <si>
    <t>2026-02-05</t>
  </si>
  <si>
    <t>2027-02-05</t>
  </si>
  <si>
    <t>FDA registration + allergen statement on file.</t>
  </si>
  <si>
    <t>Annual Re-qualification</t>
  </si>
  <si>
    <t>2025-05-20</t>
  </si>
  <si>
    <t>2026-06-01</t>
  </si>
  <si>
    <t>INTENTIONAL: expiry 2026-06-01 is in the PAST. Confirm it surfaces as overdue / due for re-qualification.</t>
  </si>
  <si>
    <t>For-Cause Review</t>
  </si>
  <si>
    <t>2026-06-15</t>
  </si>
  <si>
    <t>(open)</t>
  </si>
  <si>
    <t>INTENTIONAL: open review for the unapproved vendor; should remain non-qualified until complete.</t>
  </si>
  <si>
    <t>Incoming Inspections</t>
  </si>
  <si>
    <t>Each line item with Result = Pass propagates to Inventory immediately (per-item, idempotent). The Fail row must NOT create inventory and feeds NC-1.</t>
  </si>
  <si>
    <t>Inspection #</t>
  </si>
  <si>
    <t>PO / Manifest #</t>
  </si>
  <si>
    <t>Date</t>
  </si>
  <si>
    <t>Inspector</t>
  </si>
  <si>
    <t>Line Item</t>
  </si>
  <si>
    <t>Vendor Lot #</t>
  </si>
  <si>
    <t>Qty</t>
  </si>
  <si>
    <t>Unit</t>
  </si>
  <si>
    <t>Result</t>
  </si>
  <si>
    <t>INSP-1</t>
  </si>
  <si>
    <t>MAN-2026-0101</t>
  </si>
  <si>
    <t>2026-06-02</t>
  </si>
  <si>
    <t>Blue Dream Flower</t>
  </si>
  <si>
    <t>GV-BD-2605</t>
  </si>
  <si>
    <t>g</t>
  </si>
  <si>
    <t>Pass</t>
  </si>
  <si>
    <t>Moisture + visual OK.</t>
  </si>
  <si>
    <t>INSP-2</t>
  </si>
  <si>
    <t>MAN-2026-0102</t>
  </si>
  <si>
    <t>THC Distillate</t>
  </si>
  <si>
    <t>PE-DST-2606</t>
  </si>
  <si>
    <t>COA matches; 84% THC.</t>
  </si>
  <si>
    <t>INSP-3</t>
  </si>
  <si>
    <t>MAN-2026-0103</t>
  </si>
  <si>
    <t>2026-06-03</t>
  </si>
  <si>
    <t>CCELL TH2 Cartridge (0.5g)</t>
  </si>
  <si>
    <t>VT-TH2-118</t>
  </si>
  <si>
    <t>units</t>
  </si>
  <si>
    <t>Leach certs attached.</t>
  </si>
  <si>
    <t>INSP-4</t>
  </si>
  <si>
    <t>MAN-2026-0104</t>
  </si>
  <si>
    <t>Mylar Pouch (child-resist)</t>
  </si>
  <si>
    <t>CP-MYL-441</t>
  </si>
  <si>
    <t>Cartridge Box</t>
  </si>
  <si>
    <t>CP-BOX-442</t>
  </si>
  <si>
    <t>Same manifest, second line.</t>
  </si>
  <si>
    <t>INSP-5</t>
  </si>
  <si>
    <t>MAN-2026-0105</t>
  </si>
  <si>
    <t>2026-06-04</t>
  </si>
  <si>
    <t>Cane Sugar</t>
  </si>
  <si>
    <t>SS-SUG-077</t>
  </si>
  <si>
    <t>Allergen statement on file.</t>
  </si>
  <si>
    <t>Pectin</t>
  </si>
  <si>
    <t>SS-PEC-078</t>
  </si>
  <si>
    <t>Blue Razz Flavor</t>
  </si>
  <si>
    <t>SS-FLV-079</t>
  </si>
  <si>
    <t>mL</t>
  </si>
  <si>
    <t>Food-grade.</t>
  </si>
  <si>
    <t>INSP-6</t>
  </si>
  <si>
    <t>MAN-2026-0106</t>
  </si>
  <si>
    <t>2026-06-05</t>
  </si>
  <si>
    <t>Northern Lights Flower</t>
  </si>
  <si>
    <t>GV-NL-2607</t>
  </si>
  <si>
    <t>For pre-rolls.</t>
  </si>
  <si>
    <t>INSP-7</t>
  </si>
  <si>
    <t>MAN-2026-0107</t>
  </si>
  <si>
    <t>2026-06-06</t>
  </si>
  <si>
    <t>Sour Diesel Flower</t>
  </si>
  <si>
    <t>GV-SD-2608</t>
  </si>
  <si>
    <t>Fail</t>
  </si>
  <si>
    <t>INTENTIONAL FAIL: visible mold + water activity 0.68 (over limit). Confirm NO inventory is created and open NC-1.</t>
  </si>
  <si>
    <t>Inventory Items</t>
  </si>
  <si>
    <t>These appear automatically when the matching inspection line item is marked Pass. Listed here so you can confirm each one landed with the right quantity/unit.</t>
  </si>
  <si>
    <t>Item Name</t>
  </si>
  <si>
    <t>Item Type</t>
  </si>
  <si>
    <t>Lot # (vendor)</t>
  </si>
  <si>
    <t>Initial Qty</t>
  </si>
  <si>
    <t>Reorder Point</t>
  </si>
  <si>
    <t>From Inspection</t>
  </si>
  <si>
    <t>Cannabis Flower</t>
  </si>
  <si>
    <t>Vape distillate feedstock not needed; flower for reference.</t>
  </si>
  <si>
    <t>Cannabis Extract</t>
  </si>
  <si>
    <t>84% THC; used in gummies + vapes.</t>
  </si>
  <si>
    <t>Packaging Material</t>
  </si>
  <si>
    <t>Vape hardware.</t>
  </si>
  <si>
    <t>Gummy pouches.</t>
  </si>
  <si>
    <t>Vape cartons.</t>
  </si>
  <si>
    <t>Excipient</t>
  </si>
  <si>
    <t>Edible base.</t>
  </si>
  <si>
    <t>Gelling agent.</t>
  </si>
  <si>
    <t>Terpene</t>
  </si>
  <si>
    <t>Flavoring (no flavor type? use Terpene/Other).</t>
  </si>
  <si>
    <t>Pre-roll feedstock.</t>
  </si>
  <si>
    <t>Gummy Pouch Label</t>
  </si>
  <si>
    <t>Label</t>
  </si>
  <si>
    <t>CP-LBL-450</t>
  </si>
  <si>
    <t>(manual add)</t>
  </si>
  <si>
    <t>Add manually to test the Label item type.</t>
  </si>
  <si>
    <t>Cartridge Label</t>
  </si>
  <si>
    <t>CP-LBL-451</t>
  </si>
  <si>
    <t>Add manually.</t>
  </si>
  <si>
    <t>Lots (first-class traceability)</t>
  </si>
  <si>
    <t>Use these for the split / merge / ship lot operations (role-gated). Quantities below are the STARTING state before those operations.</t>
  </si>
  <si>
    <t>Lot #</t>
  </si>
  <si>
    <t>Original Qty</t>
  </si>
  <si>
    <t>Current Qty</t>
  </si>
  <si>
    <t>Origin</t>
  </si>
  <si>
    <t>Use it to test</t>
  </si>
  <si>
    <t>LOT-2026-0001</t>
  </si>
  <si>
    <t>Active</t>
  </si>
  <si>
    <t>Received (INSP-1)</t>
  </si>
  <si>
    <t>SPLIT into 2000 + 1000 (Manager+) → parent 5000→2000.</t>
  </si>
  <si>
    <t>LOT-2026-0002</t>
  </si>
  <si>
    <t>Received (INSP-6)</t>
  </si>
  <si>
    <t>SHIP 500 g (Supervisor+) → current 3000→2500; ship row created.</t>
  </si>
  <si>
    <t>LOT-2026-0003</t>
  </si>
  <si>
    <t>THC Distillate (A)</t>
  </si>
  <si>
    <t>Split of PE-DST-2606</t>
  </si>
  <si>
    <t>MERGE with LOT-2026-0004 (same item+unit) → merged 800 g.</t>
  </si>
  <si>
    <t>LOT-2026-0004</t>
  </si>
  <si>
    <t>THC Distillate (B)</t>
  </si>
  <si>
    <t>MERGE source; goes to 0 / Consumed after merge.</t>
  </si>
  <si>
    <t>Recipes (master formulations)</t>
  </si>
  <si>
    <t>Create each recipe (Product Name + Product Type), then add its Bill of Materials and Process Steps on the recipe detail page. {blank} marks an operator fill-in at batch time.</t>
  </si>
  <si>
    <t>Recipe</t>
  </si>
  <si>
    <t>Product Type</t>
  </si>
  <si>
    <t>Bill of Materials</t>
  </si>
  <si>
    <t>Process Steps (in order)</t>
  </si>
  <si>
    <t>Blue Razz Gummies</t>
  </si>
  <si>
    <t>Edible</t>
  </si>
  <si>
    <t>THC Distillate (target 10 mg THC/serving), Cane Sugar, Pectin, Blue Razz Flavor, Gummy Pouch Label</t>
  </si>
  <si>
    <t>1) Weigh sugar + pectin {qty}; 2) Heat slurry to {temp}°F (BAKER e-sig); 3) Add distillate, mix {min} min; 4) Deposit into molds; 5) Cure {hours} h; 6) Package 10 gummies/pouch + apply label.</t>
  </si>
  <si>
    <t>Kitchen process. 100 mg/pouch ÷ 10 gummies = 10 mg/serving. Baker attribution required at the heat step (FDA).</t>
  </si>
  <si>
    <t>Northern Lights Pre-Roll</t>
  </si>
  <si>
    <t>Pre-Roll</t>
  </si>
  <si>
    <t>Northern Lights Flower (0.5 g/each), Pre-roll Cones, Filter Tips</t>
  </si>
  <si>
    <t>1) Grind flower; 2) Fill cone {weight} g; 3) Weigh-check; 4) Pack + twist; 5) Label.</t>
  </si>
  <si>
    <t>Pre-roll process type. 500 units × 0.5 g = 250 g flower.</t>
  </si>
  <si>
    <t>Blue Dream Vape Cartridge</t>
  </si>
  <si>
    <t>Vape Cartridge</t>
  </si>
  <si>
    <t>THC Distillate, Botanical Terpenes (5%), CCELL TH2 Cartridge, Cartridge Box + Label</t>
  </si>
  <si>
    <t>1) Blend distillate + terpenes; 2) Heat to {temp}°F; 3) Fill carts 0.5 g; 4) Cap; 5) Test; 6) Box + label.</t>
  </si>
  <si>
    <t>Picking Product Type = Vape Cartridge must default Process Type to INHALANTS (not Kitchen). 300 × 0.5 g = 150 g.</t>
  </si>
  <si>
    <t>Batch Records</t>
  </si>
  <si>
    <t>Open each batch from its recipe. The METRC tag entered at process start IS the batch number. BAT-V2 is an intentional fail (its COA fails — see Test Results).</t>
  </si>
  <si>
    <t>Batch #</t>
  </si>
  <si>
    <t>Product</t>
  </si>
  <si>
    <t>Process Type</t>
  </si>
  <si>
    <t>Batch Type</t>
  </si>
  <si>
    <t>Strain / Flavor</t>
  </si>
  <si>
    <t>METRC Tag (process-start)</t>
  </si>
  <si>
    <t>Scheduled Output</t>
  </si>
  <si>
    <t>Production Date</t>
  </si>
  <si>
    <t>Operator / Baker</t>
  </si>
  <si>
    <t>Expected Result</t>
  </si>
  <si>
    <t>BAT-E1</t>
  </si>
  <si>
    <t>Kitchen</t>
  </si>
  <si>
    <t>Production</t>
  </si>
  <si>
    <t>Blue Razz</t>
  </si>
  <si>
    <t>1A4060300012F45000000111</t>
  </si>
  <si>
    <t>1000 gummies (100 pouches)</t>
  </si>
  <si>
    <t>2026-06-10</t>
  </si>
  <si>
    <t>Olivia Park (OP)</t>
  </si>
  <si>
    <t>Full lifecycle → Test PASS (10.2 mg/serving) → label approved → released.</t>
  </si>
  <si>
    <t>BAT-P1</t>
  </si>
  <si>
    <t>Pre-roll</t>
  </si>
  <si>
    <t>Northern Lights</t>
  </si>
  <si>
    <t>1A4060300012F45000000122</t>
  </si>
  <si>
    <t>500 units (0.5 g)</t>
  </si>
  <si>
    <t>2026-06-12</t>
  </si>
  <si>
    <t>Owen Brooks (OB)</t>
  </si>
  <si>
    <t>Test PASS (22.5% THC) → released.</t>
  </si>
  <si>
    <t>BAT-V1</t>
  </si>
  <si>
    <t>Inhalants</t>
  </si>
  <si>
    <t>Blue Dream</t>
  </si>
  <si>
    <t>1A4060300012F45000000133</t>
  </si>
  <si>
    <t>300 cartridges (0.5 g)</t>
  </si>
  <si>
    <t>2026-06-14</t>
  </si>
  <si>
    <t>Confirm Process Type auto-set to INHALANTS. Test PASS (78.4% THC) → released.</t>
  </si>
  <si>
    <t>BAT-V2</t>
  </si>
  <si>
    <t>1A4060300012F45000000144</t>
  </si>
  <si>
    <t>2026-06-18</t>
  </si>
  <si>
    <t>INTENTIONAL FAIL: COA shows pesticide (Myclobutanil) exceedance → Mark Test Failed → open NC-2 → CAPA-1 → (optional) Field Action.</t>
  </si>
  <si>
    <t>Test Results / COAs</t>
  </si>
  <si>
    <t>Enter on each batch's testing tab. Edibles record mg/serving; vapes/pre-rolls record % by weight. BAT-V2 fails the pesticide panel.</t>
  </si>
  <si>
    <t>Lab</t>
  </si>
  <si>
    <t>Total THC</t>
  </si>
  <si>
    <t>Total CBD</t>
  </si>
  <si>
    <t>Pesticides</t>
  </si>
  <si>
    <t>Microbials</t>
  </si>
  <si>
    <t>Heavy Metals</t>
  </si>
  <si>
    <t>Residual Solvents</t>
  </si>
  <si>
    <t>Water Activity</t>
  </si>
  <si>
    <t>Overall</t>
  </si>
  <si>
    <t>10.2 mg/serving</t>
  </si>
  <si>
    <t>&lt;1 mg</t>
  </si>
  <si>
    <t>N/A</t>
  </si>
  <si>
    <t>0.55 aw</t>
  </si>
  <si>
    <t>PASS</t>
  </si>
  <si>
    <t>Within MI label tolerance (10 mg ±15%).</t>
  </si>
  <si>
    <t>22.5 %</t>
  </si>
  <si>
    <t>0.3 %</t>
  </si>
  <si>
    <t>0.58 aw</t>
  </si>
  <si>
    <t>Flower pre-roll.</t>
  </si>
  <si>
    <t>78.4 %</t>
  </si>
  <si>
    <t>0.5 %</t>
  </si>
  <si>
    <t>Distillate lot PE-DST-2606.</t>
  </si>
  <si>
    <t>77.9 %</t>
  </si>
  <si>
    <t>0.4 %</t>
  </si>
  <si>
    <t>FAIL</t>
  </si>
  <si>
    <t>INTENTIONAL FAIL: Myclobutanil 0.5 ppm vs 0.1 ppm action limit. Batch must be markable Failed; feeds NC-2.</t>
  </si>
  <si>
    <t>Quality Events (NC / Complaint / CAPA / Field Action)</t>
  </si>
  <si>
    <t>Exercises the connected quality-event flows (Sessions 75/76): complaint→NC, NC→Field Action with auto-CAPA, and the new Operator-request→approval path.</t>
  </si>
  <si>
    <t>ID</t>
  </si>
  <si>
    <t>Source / Origin</t>
  </si>
  <si>
    <t>Severity / Risk</t>
  </si>
  <si>
    <t>Title / Description</t>
  </si>
  <si>
    <t>Owner / Assignee</t>
  </si>
  <si>
    <t>Disposition / Action</t>
  </si>
  <si>
    <t>Tests</t>
  </si>
  <si>
    <t>NC-1</t>
  </si>
  <si>
    <t>Nonconformance</t>
  </si>
  <si>
    <t>Incoming Inspection (INSP-7)</t>
  </si>
  <si>
    <t>Major</t>
  </si>
  <si>
    <t>Sour Diesel flower received with visible mold; water activity over limit.</t>
  </si>
  <si>
    <t>Reported by Olivia Park (OP)</t>
  </si>
  <si>
    <t>Return to Supplier (Green Valley)</t>
  </si>
  <si>
    <t>NC from a failed inspection; Operator can raise, but only approver can CLOSE.</t>
  </si>
  <si>
    <t>NC-2</t>
  </si>
  <si>
    <t>Testing (BAT-V2)</t>
  </si>
  <si>
    <t>Pesticide (Myclobutanil) exceedance on vape batch BAT-V2.</t>
  </si>
  <si>
    <t>Reported by Quentin Lake (QL)</t>
  </si>
  <si>
    <t>Destroy batch; escalate to CAPA-1</t>
  </si>
  <si>
    <t>NC → Field Action escalation auto-opens a linked CAPA.</t>
  </si>
  <si>
    <t>COMP-1</t>
  </si>
  <si>
    <t>Complaint</t>
  </si>
  <si>
    <t>Customer / dispensary</t>
  </si>
  <si>
    <t>Customer reports Blue Razz gummies (BAT-E1) feel weak / under-dosed.</t>
  </si>
  <si>
    <t>Reporter: dispensary staff</t>
  </si>
  <si>
    <t>Investigate; Create NC from Complaint → NC-3</t>
  </si>
  <si>
    <t>Complaint↔NC link (S75): many complaints → one NC.</t>
  </si>
  <si>
    <t>NC-3</t>
  </si>
  <si>
    <t>Customer Complaint (COMP-1)</t>
  </si>
  <si>
    <t>Minor</t>
  </si>
  <si>
    <t>Investigate potency of BAT-E1 vs COA (10.2 mg/serving).</t>
  </si>
  <si>
    <t>Reported by Quinn Rivera (QR)</t>
  </si>
  <si>
    <t>Confirm within tolerance; document + close</t>
  </si>
  <si>
    <t>Auto-created and linked from the complaint.</t>
  </si>
  <si>
    <t>CAPA-1</t>
  </si>
  <si>
    <t>CAPA</t>
  </si>
  <si>
    <t>High (Corrective)</t>
  </si>
  <si>
    <t>Pesticide exceedance on vape distillate — strengthen incoming distillate controls.</t>
  </si>
  <si>
    <t>EC Owner: Quinn Rivera (QR)</t>
  </si>
  <si>
    <t>AI-1: audit PureExtract COA process — Marcus Reed (MR), due 2026-07-15. AI-2: add Myclobutanil to incoming panel — Sofia Nguyen (SN), due 2026-07-01.</t>
  </si>
  <si>
    <t>Gate 1 needs TWO distinct approvers (e.g. MR + QL). Action assignees + EC owner must be distinct (segregation).</t>
  </si>
  <si>
    <t>FA-1</t>
  </si>
  <si>
    <t>Field Action (REQUEST)</t>
  </si>
  <si>
    <t>Requested by Operator on BAT-V1</t>
  </si>
  <si>
    <t>Stop Sale</t>
  </si>
  <si>
    <t>Operator requests a precautionary Stop Sale on BAT-V1 (same distillate family as failed BAT-V2).</t>
  </si>
  <si>
    <t>Requested by Olivia Park (OP)</t>
  </si>
  <si>
    <t>Quality (QL) APPROVES → FA opens + CAPA auto-links → status Initiated.</t>
  </si>
  <si>
    <t>S76: Operator CANNOT open an FA directly — only request. Approver approves.</t>
  </si>
  <si>
    <t>FA-2</t>
  </si>
  <si>
    <t>Requested by Operator on BAT-P1</t>
  </si>
  <si>
    <t>Safety Alert</t>
  </si>
  <si>
    <t>Operator requests an FA on BAT-P1 with no supporting failure.</t>
  </si>
  <si>
    <t>Requested by Owen Brooks (OB)</t>
  </si>
  <si>
    <t>Quality (QL) REJECTS with reason → status Request Rejected.</t>
  </si>
  <si>
    <t>S76 reject path: rejection reason required; FA never opens, no CAPA created.</t>
  </si>
  <si>
    <t>CannaQ OQ — Execution Run Sheet</t>
  </si>
  <si>
    <t>Mark Pass / Fail, initials and date as each step is executed. Steps with a red expected result are intended to be BLOCKED — 'Pass' means the block worked.</t>
  </si>
  <si>
    <t>Step</t>
  </si>
  <si>
    <t>Module</t>
  </si>
  <si>
    <t>Run as</t>
  </si>
  <si>
    <t>Action</t>
  </si>
  <si>
    <t>Pass / Fail</t>
  </si>
  <si>
    <t>0.1</t>
  </si>
  <si>
    <t>Setup</t>
  </si>
  <si>
    <t>Create the 9 test accounts (Users &amp; Roles tab); sign in to each with code 424242.</t>
  </si>
  <si>
    <t>Each can log in; new accounts default to Operator.</t>
  </si>
  <si>
    <t>0.2</t>
  </si>
  <si>
    <t>Set each user's role per the Users &amp; Roles tab.</t>
  </si>
  <si>
    <t>users.role matches intended role.</t>
  </si>
  <si>
    <t>0.3</t>
  </si>
  <si>
    <t>Users</t>
  </si>
  <si>
    <t>Add user 'Oscar Pena' with initials 'OP' (duplicate of Olivia Park).</t>
  </si>
  <si>
    <t>REJECTED — 409 'Initials "OP" are already in use.' (Part 11 unique-initials fix).</t>
  </si>
  <si>
    <t>0.4</t>
  </si>
  <si>
    <t>Re-add the same user with initials 'OPe'.</t>
  </si>
  <si>
    <t>Created successfully; initials now unique.</t>
  </si>
  <si>
    <t>1.1</t>
  </si>
  <si>
    <t>Add all 7 suppliers (Suppliers tab).</t>
  </si>
  <si>
    <t>All saved with type, risk tier + rationale; last one shows License Pending / not approved.</t>
  </si>
  <si>
    <t>1.2</t>
  </si>
  <si>
    <t>Supplier Quals</t>
  </si>
  <si>
    <t>Add the 8 qualification records (Supplier Quals tab).</t>
  </si>
  <si>
    <t>Initial quals saved; the 2026-06-01 re-qual shows overdue; For-Cause review open.</t>
  </si>
  <si>
    <t>2.1</t>
  </si>
  <si>
    <t>Inspections</t>
  </si>
  <si>
    <t>Create INSP-1..6 and mark each line item Pass.</t>
  </si>
  <si>
    <t>An Inventory item appears per passed line (idempotent; re-saving Pass doesn't double-add).</t>
  </si>
  <si>
    <t>2.2</t>
  </si>
  <si>
    <t>Create INSP-7 (Sour Diesel) and mark the line item Fail.</t>
  </si>
  <si>
    <t>NO inventory item created; row is eligible to open an NC.</t>
  </si>
  <si>
    <t>2.3</t>
  </si>
  <si>
    <t>Inventory</t>
  </si>
  <si>
    <t>Confirm Inventory matches the Inventory tab; manually add the two Label items.</t>
  </si>
  <si>
    <t>Quantities + units match; Label item type accepted.</t>
  </si>
  <si>
    <t>3.1</t>
  </si>
  <si>
    <t>Lots</t>
  </si>
  <si>
    <t>Split LOT-2026-0001 (5000 g) into 2000 + 1000 with initials + meaning.</t>
  </si>
  <si>
    <t>Parent 5000→2000; two child lots (Active); events signed.</t>
  </si>
  <si>
    <t>3.2</t>
  </si>
  <si>
    <t>Attempt the same split as an Operator.</t>
  </si>
  <si>
    <t>BLOCKED — 403 'Lot splits require Manager, Quality, or Admin role.'</t>
  </si>
  <si>
    <t>3.3</t>
  </si>
  <si>
    <t>Merge LOT-2026-0003 + LOT-2026-0004 (THC Distillate).</t>
  </si>
  <si>
    <t>Sources → 0/Consumed; merged lot = 800 g Active; events signed.</t>
  </si>
  <si>
    <t>3.4</t>
  </si>
  <si>
    <t>Ship 500 g from LOT-2026-0002.</t>
  </si>
  <si>
    <t>Current 3000→2500; shipment row created; event logged.</t>
  </si>
  <si>
    <t>4.1</t>
  </si>
  <si>
    <t>Recipes</t>
  </si>
  <si>
    <t>Create the 3 recipes; add BOM + process steps with {blank} fill-ins.</t>
  </si>
  <si>
    <t>Recipes saved Active; process steps carry fill-in placeholders.</t>
  </si>
  <si>
    <t>5.1</t>
  </si>
  <si>
    <t>Batches</t>
  </si>
  <si>
    <t>Open BAT-E1 (gummies) from its recipe; enter the METRC tag.</t>
  </si>
  <si>
    <t>Batch opens; the entered METRC tag becomes the batch number; Process Type = Kitchen.</t>
  </si>
  <si>
    <t>5.2</t>
  </si>
  <si>
    <t>Open BAT-V1 by selecting Product Type = Vape Cartridge (no recipe).</t>
  </si>
  <si>
    <t>Process Type AUTO-defaults to Inhalants (not Kitchen) — concentrate/vape default fix.</t>
  </si>
  <si>
    <t>5.3</t>
  </si>
  <si>
    <t>Run BAT-E1 process steps; sign the heat/cook step as baker.</t>
  </si>
  <si>
    <t>Baker e-signature captured on the step (FDA attribution).</t>
  </si>
  <si>
    <t>5.4</t>
  </si>
  <si>
    <t>Operator (unqualified)</t>
  </si>
  <si>
    <t>Attempt to run a recipe the operator isn't qualified for, solo.</t>
  </si>
  <si>
    <t>BLOCKED until supervised batches completed (competency gate).</t>
  </si>
  <si>
    <t>6.1</t>
  </si>
  <si>
    <t>Testing</t>
  </si>
  <si>
    <t>Enter COAs for BAT-E1 / P1 / V1 and Mark Test Passed.</t>
  </si>
  <si>
    <t>Edible records mg/serving; vape/pre-roll record %; batches move to Passed — Awaiting Packaging.</t>
  </si>
  <si>
    <t>6.2</t>
  </si>
  <si>
    <t>Enter BAT-V2 COA (Myclobutanil FAIL) and Mark Test Failed.</t>
  </si>
  <si>
    <t>Batch moves to Failed; eligible to open NC-2.</t>
  </si>
  <si>
    <t>7.1</t>
  </si>
  <si>
    <t>Labeling</t>
  </si>
  <si>
    <t>Build the labeling checklist for BAT-E1, then request approval.</t>
  </si>
  <si>
    <t>Empty/incomplete checklist BLOCKS approval (fail-closed); complete checklist allows it.</t>
  </si>
  <si>
    <t>7.2</t>
  </si>
  <si>
    <t>Approve the BAT-E1 label with e-signature.</t>
  </si>
  <si>
    <t>Approval recorded with meaning; batch can move to release.</t>
  </si>
  <si>
    <t>8.1</t>
  </si>
  <si>
    <t>Quality Events</t>
  </si>
  <si>
    <t>From INSP-7, open NC-1 (Reported By = Olivia Park).</t>
  </si>
  <si>
    <t>NC-1 created; Reported By saved as a user id.</t>
  </si>
  <si>
    <t>8.2</t>
  </si>
  <si>
    <t>Attempt to CLOSE NC-1 as an Operator.</t>
  </si>
  <si>
    <t>BLOCKED — 403 (close requires Supervisor/Manager/Quality/Admin).</t>
  </si>
  <si>
    <t>8.3</t>
  </si>
  <si>
    <t>From BAT-V2, open NC-2; escalate NC-2 to a Field Action.</t>
  </si>
  <si>
    <t>Field Action opens AND a linked CAPA is auto-created (FA never without a CAPA).</t>
  </si>
  <si>
    <t>8.4</t>
  </si>
  <si>
    <t>Create CAPA-1; set EC Owner = Quinn Rivera; add action items to Marcus Reed + Sofia Nguyen.</t>
  </si>
  <si>
    <t>Owner + assignees saved as user ids (not free text).</t>
  </si>
  <si>
    <t>8.5</t>
  </si>
  <si>
    <t>Manager+Quality</t>
  </si>
  <si>
    <t>Take CAPA-1 through Gate 1 with two DISTINCT approvers.</t>
  </si>
  <si>
    <t>Gate passes only with two different approver identities; same-person sign-offs blocked (segregation).</t>
  </si>
  <si>
    <t>8.6</t>
  </si>
  <si>
    <t>From COMP-1, use Create NC from Complaint (NC-3).</t>
  </si>
  <si>
    <t>Complaint links to the new NC; NC shows Related Complaints (both directions).</t>
  </si>
  <si>
    <t>9.1</t>
  </si>
  <si>
    <t>New Quality Event (S76)</t>
  </si>
  <si>
    <t>Open the top-bar 'New Quality Event' menu.</t>
  </si>
  <si>
    <t>Menu shows only Non-Conformance, CAPA, and 'Request Field Action' — no direct Field Action or Complaint.</t>
  </si>
  <si>
    <t>9.2</t>
  </si>
  <si>
    <t>Submit FA-1 (Stop Sale request on BAT-V1).</t>
  </si>
  <si>
    <t>FA created in status 'Requested' with NO CAPA; advance/close controls hidden.</t>
  </si>
  <si>
    <t>9.3</t>
  </si>
  <si>
    <t>Open FA-1; Approve the request.</t>
  </si>
  <si>
    <t>Status → Initiated; mandatory CAPA auto-created + linked.</t>
  </si>
  <si>
    <t>9.4</t>
  </si>
  <si>
    <t>Open FA-2; Reject with a reason.</t>
  </si>
  <si>
    <t>Rejection reason required; status → Request Rejected; no CAPA created.</t>
  </si>
  <si>
    <t>9.5</t>
  </si>
  <si>
    <t>Open the 'New Quality Event' menu as Quality.</t>
  </si>
  <si>
    <t>Menu also shows Complaint and Field Action (direct).</t>
  </si>
  <si>
    <t>10.1</t>
  </si>
  <si>
    <t>Audit / Part 11</t>
  </si>
  <si>
    <t>Open the Audit Log for a signed action (e.g. label approval, NC close).</t>
  </si>
  <si>
    <t>Immutable entry: who / what / when / before / after, with acting-user attribution.</t>
  </si>
  <si>
    <t>10.2</t>
  </si>
  <si>
    <t>Cancel pattern</t>
  </si>
  <si>
    <t>Cancel an NC with a reason + e-signature; then Reopen as Admin.</t>
  </si>
  <si>
    <t>Soft-cancel (recoverable, audited); never hard-deleted; Reopen is Admin-only.</t>
  </si>
  <si>
    <t>OQ Execution Summary</t>
  </si>
  <si>
    <t>Total test steps</t>
  </si>
  <si>
    <t>Marked Pass</t>
  </si>
  <si>
    <t>Marked Fail</t>
  </si>
  <si>
    <t>Not yet executed</t>
  </si>
  <si>
    <t>Overall OQ result:</t>
  </si>
  <si>
    <t>Executed by / date:</t>
  </si>
  <si>
    <t>Reviewed by (Quality) /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</si>
</sst>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6F43"/>
      <name val="Arial"/>
      <charset val="1"/>
    </font>
    <font>
      <i/>
      <sz val="10"/>
      <color rgb="FF666666"/>
      <name val="Arial"/>
      <charset val="1"/>
    </font>
    <font>
      <b/>
      <sz val="11"/>
      <color rgb="FF1F6F43"/>
      <name val="Arial"/>
      <charset val="1"/>
    </font>
    <font>
      <sz val="10"/>
      <name val="Arial"/>
      <charset val="1"/>
    </font>
    <font>
      <b/>
      <sz val="14"/>
      <color rgb="FF1F6F43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BE3E3"/>
        <bgColor rgb="FFF2F2F2"/>
      </patternFill>
    </fill>
    <fill>
      <patternFill patternType="solid">
        <fgColor rgb="FFFFF4CC"/>
        <bgColor rgb="FFF2F2F2"/>
      </patternFill>
    </fill>
    <fill>
      <patternFill patternType="solid">
        <fgColor rgb="FFE5EEF7"/>
        <bgColor rgb="FFF2F2F2"/>
      </patternFill>
    </fill>
    <fill>
      <patternFill patternType="solid">
        <fgColor rgb="FF1F6F43"/>
        <bgColor rgb="FF008080"/>
      </patternFill>
    </fill>
    <fill>
      <patternFill patternType="solid">
        <fgColor rgb="FFF2F2F2"/>
        <bgColor rgb="FFE5EEF7"/>
      </patternFill>
    </fill>
    <fill>
      <patternFill patternType="solid">
        <fgColor rgb="FFB07A1E"/>
        <bgColor rgb="FF808080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7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7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1E"/>
      <rgbColor rgb="FF800080"/>
      <rgbColor rgb="FF1F6F43"/>
      <rgbColor rgb="FFC8C8C8"/>
      <rgbColor rgb="FF808080"/>
      <rgbColor rgb="FF9999FF"/>
      <rgbColor rgb="FFB23B3B"/>
      <rgbColor rgb="FFFFF4CC"/>
      <rgbColor rgb="FFE5EEF7"/>
      <rgbColor rgb="FF660066"/>
      <rgbColor rgb="FFFF8080"/>
      <rgbColor rgb="FF2D6A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BE3E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6A4FA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F43"/>
  </sheetPr>
  <dimension ref="B2:B23"/>
  <sheetViews>
    <sheetView zoomScaleNormal="100" workbookViewId="0"/>
  </sheetViews>
  <sheetFormatPr defaultColWidth="8.7109375" defaultRowHeight="15" x14ac:dyDescent="0.25"/>
  <cols>
    <col min="1" max="1" width="3" customWidth="1"/>
    <col min="2" max="2" width="110" customWidth="1"/>
  </cols>
  <sheetData>
    <row r="2" spans="2:2" ht="20.25" x14ac:dyDescent="0.25">
      <c r="B2" s="5" t="s">
        <v>0</v>
      </c>
    </row>
    <row r="3" spans="2:2" x14ac:dyDescent="0.25">
      <c r="B3" s="6" t="s">
        <v>1</v>
      </c>
    </row>
    <row r="5" spans="2:2" x14ac:dyDescent="0.25">
      <c r="B5" s="7" t="s">
        <v>2</v>
      </c>
    </row>
    <row r="6" spans="2:2" ht="38.25" x14ac:dyDescent="0.25">
      <c r="B6" s="8" t="s">
        <v>3</v>
      </c>
    </row>
    <row r="8" spans="2:2" x14ac:dyDescent="0.25">
      <c r="B8" s="7" t="s">
        <v>4</v>
      </c>
    </row>
    <row r="9" spans="2:2" x14ac:dyDescent="0.25">
      <c r="B9" s="8" t="s">
        <v>5</v>
      </c>
    </row>
    <row r="10" spans="2:2" ht="25.5" x14ac:dyDescent="0.25">
      <c r="B10" s="8" t="s">
        <v>6</v>
      </c>
    </row>
    <row r="11" spans="2:2" x14ac:dyDescent="0.25">
      <c r="B11" s="8" t="s">
        <v>7</v>
      </c>
    </row>
    <row r="12" spans="2:2" x14ac:dyDescent="0.25">
      <c r="B12" s="8" t="s">
        <v>8</v>
      </c>
    </row>
    <row r="14" spans="2:2" x14ac:dyDescent="0.25">
      <c r="B14" s="7" t="s">
        <v>9</v>
      </c>
    </row>
    <row r="15" spans="2:2" x14ac:dyDescent="0.25">
      <c r="B15" s="8" t="s">
        <v>10</v>
      </c>
    </row>
    <row r="16" spans="2:2" x14ac:dyDescent="0.25">
      <c r="B16" s="8" t="s">
        <v>11</v>
      </c>
    </row>
    <row r="17" spans="2:2" ht="25.5" x14ac:dyDescent="0.25">
      <c r="B17" s="8" t="s">
        <v>12</v>
      </c>
    </row>
    <row r="18" spans="2:2" x14ac:dyDescent="0.25">
      <c r="B18" s="8" t="s">
        <v>13</v>
      </c>
    </row>
    <row r="20" spans="2:2" x14ac:dyDescent="0.25">
      <c r="B20" s="7" t="s">
        <v>14</v>
      </c>
    </row>
    <row r="21" spans="2:2" x14ac:dyDescent="0.25">
      <c r="B21" s="9" t="s">
        <v>15</v>
      </c>
    </row>
    <row r="22" spans="2:2" x14ac:dyDescent="0.25">
      <c r="B22" s="10" t="s">
        <v>16</v>
      </c>
    </row>
    <row r="23" spans="2:2" x14ac:dyDescent="0.25">
      <c r="B23" s="11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F43"/>
  </sheetPr>
  <dimension ref="A1:G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30" customWidth="1"/>
    <col min="3" max="3" width="12" customWidth="1"/>
    <col min="4" max="4" width="34" customWidth="1"/>
    <col min="5" max="5" width="9" customWidth="1"/>
    <col min="6" max="6" width="11" customWidth="1"/>
    <col min="7" max="7" width="50" customWidth="1"/>
  </cols>
  <sheetData>
    <row r="1" spans="1:7" ht="21.75" customHeight="1" x14ac:dyDescent="0.25">
      <c r="A1" s="4" t="s">
        <v>18</v>
      </c>
      <c r="B1" s="4"/>
      <c r="C1" s="4"/>
      <c r="D1" s="4"/>
      <c r="E1" s="4"/>
      <c r="F1" s="4"/>
      <c r="G1" s="4"/>
    </row>
    <row r="2" spans="1:7" ht="25.5" customHeight="1" x14ac:dyDescent="0.25">
      <c r="A2" s="3" t="s">
        <v>19</v>
      </c>
      <c r="B2" s="3"/>
      <c r="C2" s="3"/>
      <c r="D2" s="3"/>
      <c r="E2" s="3"/>
      <c r="F2" s="3"/>
      <c r="G2" s="3"/>
    </row>
    <row r="4" spans="1:7" ht="25.5" x14ac:dyDescent="0.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</row>
    <row r="5" spans="1:7" x14ac:dyDescent="0.25">
      <c r="A5" s="13">
        <v>1</v>
      </c>
      <c r="B5" s="13" t="s">
        <v>27</v>
      </c>
      <c r="C5" s="13" t="s">
        <v>28</v>
      </c>
      <c r="D5" s="13" t="s">
        <v>29</v>
      </c>
      <c r="E5" s="13" t="s">
        <v>30</v>
      </c>
      <c r="F5" s="13" t="s">
        <v>31</v>
      </c>
      <c r="G5" s="13" t="s">
        <v>32</v>
      </c>
    </row>
    <row r="6" spans="1:7" x14ac:dyDescent="0.25">
      <c r="A6" s="14">
        <v>2</v>
      </c>
      <c r="B6" s="14" t="s">
        <v>33</v>
      </c>
      <c r="C6" s="14" t="s">
        <v>34</v>
      </c>
      <c r="D6" s="14" t="s">
        <v>35</v>
      </c>
      <c r="E6" s="14" t="s">
        <v>36</v>
      </c>
      <c r="F6" s="14" t="s">
        <v>37</v>
      </c>
      <c r="G6" s="14" t="s">
        <v>38</v>
      </c>
    </row>
    <row r="7" spans="1:7" x14ac:dyDescent="0.25">
      <c r="A7" s="13">
        <v>3</v>
      </c>
      <c r="B7" s="13" t="s">
        <v>39</v>
      </c>
      <c r="C7" s="13" t="s">
        <v>34</v>
      </c>
      <c r="D7" s="13" t="s">
        <v>40</v>
      </c>
      <c r="E7" s="13" t="s">
        <v>41</v>
      </c>
      <c r="F7" s="13" t="s">
        <v>37</v>
      </c>
      <c r="G7" s="13" t="s">
        <v>42</v>
      </c>
    </row>
    <row r="8" spans="1:7" x14ac:dyDescent="0.25">
      <c r="A8" s="14">
        <v>4</v>
      </c>
      <c r="B8" s="14" t="s">
        <v>43</v>
      </c>
      <c r="C8" s="14" t="s">
        <v>44</v>
      </c>
      <c r="D8" s="14" t="s">
        <v>45</v>
      </c>
      <c r="E8" s="14" t="s">
        <v>46</v>
      </c>
      <c r="F8" s="14" t="s">
        <v>37</v>
      </c>
      <c r="G8" s="14" t="s">
        <v>47</v>
      </c>
    </row>
    <row r="9" spans="1:7" x14ac:dyDescent="0.25">
      <c r="A9" s="13">
        <v>5</v>
      </c>
      <c r="B9" s="13" t="s">
        <v>48</v>
      </c>
      <c r="C9" s="13" t="s">
        <v>44</v>
      </c>
      <c r="D9" s="13" t="s">
        <v>49</v>
      </c>
      <c r="E9" s="13" t="s">
        <v>50</v>
      </c>
      <c r="F9" s="13" t="s">
        <v>37</v>
      </c>
      <c r="G9" s="13" t="s">
        <v>51</v>
      </c>
    </row>
    <row r="10" spans="1:7" x14ac:dyDescent="0.25">
      <c r="A10" s="14">
        <v>6</v>
      </c>
      <c r="B10" s="14" t="s">
        <v>52</v>
      </c>
      <c r="C10" s="14" t="s">
        <v>53</v>
      </c>
      <c r="D10" s="14" t="s">
        <v>54</v>
      </c>
      <c r="E10" s="14" t="s">
        <v>55</v>
      </c>
      <c r="F10" s="14" t="s">
        <v>37</v>
      </c>
      <c r="G10" s="14" t="s">
        <v>56</v>
      </c>
    </row>
    <row r="11" spans="1:7" x14ac:dyDescent="0.25">
      <c r="A11" s="13">
        <v>7</v>
      </c>
      <c r="B11" s="13" t="s">
        <v>57</v>
      </c>
      <c r="C11" s="13" t="s">
        <v>53</v>
      </c>
      <c r="D11" s="13" t="s">
        <v>58</v>
      </c>
      <c r="E11" s="13" t="s">
        <v>59</v>
      </c>
      <c r="F11" s="13" t="s">
        <v>37</v>
      </c>
      <c r="G11" s="13" t="s">
        <v>60</v>
      </c>
    </row>
    <row r="12" spans="1:7" x14ac:dyDescent="0.25">
      <c r="A12" s="14">
        <v>8</v>
      </c>
      <c r="B12" s="14" t="s">
        <v>61</v>
      </c>
      <c r="C12" s="14" t="s">
        <v>62</v>
      </c>
      <c r="D12" s="14" t="s">
        <v>63</v>
      </c>
      <c r="E12" s="14" t="s">
        <v>64</v>
      </c>
      <c r="F12" s="14" t="s">
        <v>37</v>
      </c>
      <c r="G12" s="14" t="s">
        <v>65</v>
      </c>
    </row>
    <row r="13" spans="1:7" x14ac:dyDescent="0.25">
      <c r="A13" s="13">
        <v>9</v>
      </c>
      <c r="B13" s="13" t="s">
        <v>66</v>
      </c>
      <c r="C13" s="13" t="s">
        <v>62</v>
      </c>
      <c r="D13" s="13" t="s">
        <v>67</v>
      </c>
      <c r="E13" s="13" t="s">
        <v>68</v>
      </c>
      <c r="F13" s="13" t="s">
        <v>37</v>
      </c>
      <c r="G13" s="13" t="s">
        <v>69</v>
      </c>
    </row>
    <row r="14" spans="1:7" ht="38.25" x14ac:dyDescent="0.25">
      <c r="A14" s="15">
        <v>10</v>
      </c>
      <c r="B14" s="15" t="s">
        <v>70</v>
      </c>
      <c r="C14" s="15" t="s">
        <v>62</v>
      </c>
      <c r="D14" s="15" t="s">
        <v>71</v>
      </c>
      <c r="E14" s="15" t="s">
        <v>64</v>
      </c>
      <c r="F14" s="15" t="s">
        <v>37</v>
      </c>
      <c r="G14" s="15" t="s">
        <v>72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6F43"/>
  </sheetPr>
  <dimension ref="A1:K11"/>
  <sheetViews>
    <sheetView tabSelected="1" zoomScaleNormal="100" workbookViewId="0">
      <pane ySplit="4" topLeftCell="A5" activePane="bottomLeft" state="frozen"/>
      <selection pane="bottomLeft" sqref="A1:K1"/>
    </sheetView>
  </sheetViews>
  <sheetFormatPr defaultColWidth="8.7109375" defaultRowHeight="15" x14ac:dyDescent="0.25"/>
  <cols>
    <col min="1" max="1" width="4" customWidth="1"/>
    <col min="2" max="2" width="28" customWidth="1"/>
    <col min="3" max="3" width="22" customWidth="1"/>
    <col min="4" max="4" width="13" customWidth="1"/>
    <col min="5" max="5" width="15" customWidth="1"/>
    <col min="6" max="6" width="11" customWidth="1"/>
    <col min="7" max="7" width="40" customWidth="1"/>
    <col min="8" max="8" width="14" customWidth="1"/>
    <col min="9" max="9" width="26" customWidth="1"/>
    <col min="10" max="10" width="17" customWidth="1"/>
    <col min="11" max="11" width="34" customWidth="1"/>
  </cols>
  <sheetData>
    <row r="1" spans="1:11" ht="21.75" customHeight="1" x14ac:dyDescent="0.25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5.5" customHeight="1" x14ac:dyDescent="0.25">
      <c r="A2" s="3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s="12" t="s">
        <v>20</v>
      </c>
      <c r="B4" s="12" t="s">
        <v>75</v>
      </c>
      <c r="C4" s="12" t="s">
        <v>76</v>
      </c>
      <c r="D4" s="12" t="s">
        <v>77</v>
      </c>
      <c r="E4" s="12" t="s">
        <v>78</v>
      </c>
      <c r="F4" s="12" t="s">
        <v>79</v>
      </c>
      <c r="G4" s="12" t="s">
        <v>80</v>
      </c>
      <c r="H4" s="12" t="s">
        <v>81</v>
      </c>
      <c r="I4" s="12" t="s">
        <v>82</v>
      </c>
      <c r="J4" s="12" t="s">
        <v>83</v>
      </c>
      <c r="K4" s="12" t="s">
        <v>84</v>
      </c>
    </row>
    <row r="5" spans="1:11" ht="25.5" x14ac:dyDescent="0.25">
      <c r="A5" s="13">
        <v>1</v>
      </c>
      <c r="B5" s="13" t="s">
        <v>85</v>
      </c>
      <c r="C5" s="13" t="s">
        <v>86</v>
      </c>
      <c r="D5" s="13" t="s">
        <v>87</v>
      </c>
      <c r="E5" s="13" t="s">
        <v>88</v>
      </c>
      <c r="F5" s="13" t="s">
        <v>89</v>
      </c>
      <c r="G5" s="13" t="s">
        <v>90</v>
      </c>
      <c r="H5" s="13" t="s">
        <v>91</v>
      </c>
      <c r="I5" s="13" t="s">
        <v>92</v>
      </c>
      <c r="J5" s="13" t="s">
        <v>93</v>
      </c>
      <c r="K5" s="13" t="s">
        <v>94</v>
      </c>
    </row>
    <row r="6" spans="1:11" ht="25.5" x14ac:dyDescent="0.25">
      <c r="A6" s="14">
        <v>2</v>
      </c>
      <c r="B6" s="14" t="s">
        <v>95</v>
      </c>
      <c r="C6" s="14" t="s">
        <v>96</v>
      </c>
      <c r="D6" s="14" t="s">
        <v>97</v>
      </c>
      <c r="E6" s="14" t="s">
        <v>88</v>
      </c>
      <c r="F6" s="14" t="s">
        <v>89</v>
      </c>
      <c r="G6" s="14" t="s">
        <v>98</v>
      </c>
      <c r="H6" s="14" t="s">
        <v>99</v>
      </c>
      <c r="I6" s="14" t="s">
        <v>100</v>
      </c>
      <c r="J6" s="14" t="s">
        <v>101</v>
      </c>
      <c r="K6" s="14" t="s">
        <v>102</v>
      </c>
    </row>
    <row r="7" spans="1:11" ht="25.5" x14ac:dyDescent="0.25">
      <c r="A7" s="13">
        <v>3</v>
      </c>
      <c r="B7" s="13" t="s">
        <v>103</v>
      </c>
      <c r="C7" s="13" t="s">
        <v>104</v>
      </c>
      <c r="D7" s="13" t="s">
        <v>31</v>
      </c>
      <c r="E7" s="13" t="s">
        <v>88</v>
      </c>
      <c r="F7" s="13" t="s">
        <v>105</v>
      </c>
      <c r="G7" s="13" t="s">
        <v>106</v>
      </c>
      <c r="H7" s="13" t="s">
        <v>107</v>
      </c>
      <c r="I7" s="13" t="s">
        <v>108</v>
      </c>
      <c r="J7" s="13" t="s">
        <v>109</v>
      </c>
      <c r="K7" s="13" t="s">
        <v>110</v>
      </c>
    </row>
    <row r="8" spans="1:11" ht="25.5" x14ac:dyDescent="0.25">
      <c r="A8" s="14">
        <v>4</v>
      </c>
      <c r="B8" s="14" t="s">
        <v>111</v>
      </c>
      <c r="C8" s="14" t="s">
        <v>112</v>
      </c>
      <c r="D8" s="14" t="s">
        <v>31</v>
      </c>
      <c r="E8" s="14" t="s">
        <v>88</v>
      </c>
      <c r="F8" s="14" t="s">
        <v>105</v>
      </c>
      <c r="G8" s="14" t="s">
        <v>113</v>
      </c>
      <c r="H8" s="14" t="s">
        <v>114</v>
      </c>
      <c r="I8" s="14" t="s">
        <v>115</v>
      </c>
      <c r="J8" s="14" t="s">
        <v>116</v>
      </c>
      <c r="K8" s="14" t="s">
        <v>117</v>
      </c>
    </row>
    <row r="9" spans="1:11" ht="25.5" x14ac:dyDescent="0.25">
      <c r="A9" s="13">
        <v>5</v>
      </c>
      <c r="B9" s="13" t="s">
        <v>118</v>
      </c>
      <c r="C9" s="13" t="s">
        <v>119</v>
      </c>
      <c r="D9" s="13" t="s">
        <v>120</v>
      </c>
      <c r="E9" s="13" t="s">
        <v>88</v>
      </c>
      <c r="F9" s="13" t="s">
        <v>121</v>
      </c>
      <c r="G9" s="13" t="s">
        <v>122</v>
      </c>
      <c r="H9" s="13" t="s">
        <v>123</v>
      </c>
      <c r="I9" s="13" t="s">
        <v>124</v>
      </c>
      <c r="J9" s="13" t="s">
        <v>125</v>
      </c>
      <c r="K9" s="13" t="s">
        <v>126</v>
      </c>
    </row>
    <row r="10" spans="1:11" x14ac:dyDescent="0.25">
      <c r="A10" s="14">
        <v>6</v>
      </c>
      <c r="B10" s="14" t="s">
        <v>127</v>
      </c>
      <c r="C10" s="14" t="s">
        <v>128</v>
      </c>
      <c r="D10" s="14" t="s">
        <v>31</v>
      </c>
      <c r="E10" s="14" t="s">
        <v>88</v>
      </c>
      <c r="F10" s="14" t="s">
        <v>105</v>
      </c>
      <c r="G10" s="14" t="s">
        <v>129</v>
      </c>
      <c r="H10" s="14" t="s">
        <v>130</v>
      </c>
      <c r="I10" s="14" t="s">
        <v>131</v>
      </c>
      <c r="J10" s="14" t="s">
        <v>132</v>
      </c>
      <c r="K10" s="14" t="s">
        <v>133</v>
      </c>
    </row>
    <row r="11" spans="1:11" ht="51" x14ac:dyDescent="0.25">
      <c r="A11" s="15">
        <v>7</v>
      </c>
      <c r="B11" s="15" t="s">
        <v>134</v>
      </c>
      <c r="C11" s="15" t="s">
        <v>128</v>
      </c>
      <c r="D11" s="15" t="s">
        <v>135</v>
      </c>
      <c r="E11" s="15" t="s">
        <v>136</v>
      </c>
      <c r="F11" s="15" t="s">
        <v>137</v>
      </c>
      <c r="G11" s="15" t="s">
        <v>138</v>
      </c>
      <c r="H11" s="15" t="s">
        <v>31</v>
      </c>
      <c r="I11" s="15" t="s">
        <v>139</v>
      </c>
      <c r="J11" s="15" t="s">
        <v>140</v>
      </c>
      <c r="K11" s="15" t="s">
        <v>141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F43"/>
  </sheetPr>
  <dimension ref="A1:H12"/>
  <sheetViews>
    <sheetView zoomScaleNormal="100" workbookViewId="0">
      <pane ySplit="4" topLeftCell="A5" activePane="bottomLeft" state="frozen"/>
      <selection pane="bottomLeft" sqref="A1:H1"/>
    </sheetView>
  </sheetViews>
  <sheetFormatPr defaultColWidth="8.7109375" defaultRowHeight="15" x14ac:dyDescent="0.25"/>
  <cols>
    <col min="1" max="1" width="4" customWidth="1"/>
    <col min="2" max="2" width="28" customWidth="1"/>
    <col min="3" max="3" width="22" customWidth="1"/>
    <col min="4" max="4" width="11" customWidth="1"/>
    <col min="5" max="6" width="15" customWidth="1"/>
    <col min="7" max="7" width="13" customWidth="1"/>
    <col min="8" max="8" width="46" customWidth="1"/>
  </cols>
  <sheetData>
    <row r="1" spans="1:8" ht="21.75" customHeight="1" x14ac:dyDescent="0.25">
      <c r="A1" s="4" t="s">
        <v>142</v>
      </c>
      <c r="B1" s="4"/>
      <c r="C1" s="4"/>
      <c r="D1" s="4"/>
      <c r="E1" s="4"/>
      <c r="F1" s="4"/>
      <c r="G1" s="4"/>
      <c r="H1" s="4"/>
    </row>
    <row r="2" spans="1:8" ht="25.5" customHeight="1" x14ac:dyDescent="0.25">
      <c r="A2" s="3" t="s">
        <v>143</v>
      </c>
      <c r="B2" s="3"/>
      <c r="C2" s="3"/>
      <c r="D2" s="3"/>
      <c r="E2" s="3"/>
      <c r="F2" s="3"/>
      <c r="G2" s="3"/>
      <c r="H2" s="3"/>
    </row>
    <row r="4" spans="1:8" ht="25.5" x14ac:dyDescent="0.25">
      <c r="A4" s="12" t="s">
        <v>20</v>
      </c>
      <c r="B4" s="12" t="s">
        <v>144</v>
      </c>
      <c r="C4" s="12" t="s">
        <v>145</v>
      </c>
      <c r="D4" s="12" t="s">
        <v>146</v>
      </c>
      <c r="E4" s="12" t="s">
        <v>147</v>
      </c>
      <c r="F4" s="12" t="s">
        <v>148</v>
      </c>
      <c r="G4" s="12" t="s">
        <v>149</v>
      </c>
      <c r="H4" s="12" t="s">
        <v>26</v>
      </c>
    </row>
    <row r="5" spans="1:8" x14ac:dyDescent="0.25">
      <c r="A5" s="13">
        <v>1</v>
      </c>
      <c r="B5" s="13" t="s">
        <v>85</v>
      </c>
      <c r="C5" s="13" t="s">
        <v>150</v>
      </c>
      <c r="D5" s="13" t="s">
        <v>89</v>
      </c>
      <c r="E5" s="13" t="s">
        <v>33</v>
      </c>
      <c r="F5" s="13" t="s">
        <v>151</v>
      </c>
      <c r="G5" s="13" t="s">
        <v>152</v>
      </c>
      <c r="H5" s="13" t="s">
        <v>153</v>
      </c>
    </row>
    <row r="6" spans="1:8" x14ac:dyDescent="0.25">
      <c r="A6" s="14">
        <v>2</v>
      </c>
      <c r="B6" s="14" t="s">
        <v>95</v>
      </c>
      <c r="C6" s="14" t="s">
        <v>150</v>
      </c>
      <c r="D6" s="14" t="s">
        <v>89</v>
      </c>
      <c r="E6" s="14" t="s">
        <v>33</v>
      </c>
      <c r="F6" s="14" t="s">
        <v>154</v>
      </c>
      <c r="G6" s="14" t="s">
        <v>155</v>
      </c>
      <c r="H6" s="14" t="s">
        <v>156</v>
      </c>
    </row>
    <row r="7" spans="1:8" x14ac:dyDescent="0.25">
      <c r="A7" s="13">
        <v>3</v>
      </c>
      <c r="B7" s="13" t="s">
        <v>103</v>
      </c>
      <c r="C7" s="13" t="s">
        <v>150</v>
      </c>
      <c r="D7" s="13" t="s">
        <v>105</v>
      </c>
      <c r="E7" s="13" t="s">
        <v>52</v>
      </c>
      <c r="F7" s="13" t="s">
        <v>157</v>
      </c>
      <c r="G7" s="13" t="s">
        <v>158</v>
      </c>
      <c r="H7" s="13" t="s">
        <v>159</v>
      </c>
    </row>
    <row r="8" spans="1:8" x14ac:dyDescent="0.25">
      <c r="A8" s="14">
        <v>4</v>
      </c>
      <c r="B8" s="14" t="s">
        <v>111</v>
      </c>
      <c r="C8" s="14" t="s">
        <v>150</v>
      </c>
      <c r="D8" s="14" t="s">
        <v>105</v>
      </c>
      <c r="E8" s="14" t="s">
        <v>52</v>
      </c>
      <c r="F8" s="14" t="s">
        <v>160</v>
      </c>
      <c r="G8" s="14" t="s">
        <v>161</v>
      </c>
      <c r="H8" s="14" t="s">
        <v>162</v>
      </c>
    </row>
    <row r="9" spans="1:8" x14ac:dyDescent="0.25">
      <c r="A9" s="13">
        <v>5</v>
      </c>
      <c r="B9" s="13" t="s">
        <v>118</v>
      </c>
      <c r="C9" s="13" t="s">
        <v>150</v>
      </c>
      <c r="D9" s="13" t="s">
        <v>121</v>
      </c>
      <c r="E9" s="13" t="s">
        <v>39</v>
      </c>
      <c r="F9" s="13" t="s">
        <v>163</v>
      </c>
      <c r="G9" s="13" t="s">
        <v>164</v>
      </c>
      <c r="H9" s="13" t="s">
        <v>165</v>
      </c>
    </row>
    <row r="10" spans="1:8" x14ac:dyDescent="0.25">
      <c r="A10" s="14">
        <v>6</v>
      </c>
      <c r="B10" s="14" t="s">
        <v>127</v>
      </c>
      <c r="C10" s="14" t="s">
        <v>150</v>
      </c>
      <c r="D10" s="14" t="s">
        <v>105</v>
      </c>
      <c r="E10" s="14" t="s">
        <v>39</v>
      </c>
      <c r="F10" s="14" t="s">
        <v>166</v>
      </c>
      <c r="G10" s="14" t="s">
        <v>167</v>
      </c>
      <c r="H10" s="14" t="s">
        <v>168</v>
      </c>
    </row>
    <row r="11" spans="1:8" ht="38.25" x14ac:dyDescent="0.25">
      <c r="A11" s="15">
        <v>7</v>
      </c>
      <c r="B11" s="15" t="s">
        <v>85</v>
      </c>
      <c r="C11" s="15" t="s">
        <v>169</v>
      </c>
      <c r="D11" s="15" t="s">
        <v>89</v>
      </c>
      <c r="E11" s="15" t="s">
        <v>33</v>
      </c>
      <c r="F11" s="15" t="s">
        <v>170</v>
      </c>
      <c r="G11" s="15" t="s">
        <v>171</v>
      </c>
      <c r="H11" s="15" t="s">
        <v>172</v>
      </c>
    </row>
    <row r="12" spans="1:8" ht="25.5" x14ac:dyDescent="0.25">
      <c r="A12" s="15">
        <v>8</v>
      </c>
      <c r="B12" s="15" t="s">
        <v>134</v>
      </c>
      <c r="C12" s="15" t="s">
        <v>173</v>
      </c>
      <c r="D12" s="15" t="s">
        <v>137</v>
      </c>
      <c r="E12" s="15" t="s">
        <v>33</v>
      </c>
      <c r="F12" s="15" t="s">
        <v>174</v>
      </c>
      <c r="G12" s="15" t="s">
        <v>175</v>
      </c>
      <c r="H12" s="15" t="s">
        <v>176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D6A9F"/>
  </sheetPr>
  <dimension ref="A1:K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6" customWidth="1"/>
    <col min="3" max="3" width="12" customWidth="1"/>
    <col min="4" max="4" width="28" customWidth="1"/>
    <col min="5" max="5" width="14" customWidth="1"/>
    <col min="6" max="6" width="24" customWidth="1"/>
    <col min="7" max="7" width="14" customWidth="1"/>
    <col min="8" max="8" width="9" customWidth="1"/>
    <col min="9" max="9" width="8" customWidth="1"/>
    <col min="10" max="10" width="10" customWidth="1"/>
    <col min="11" max="11" width="40" customWidth="1"/>
  </cols>
  <sheetData>
    <row r="1" spans="1:11" ht="21.75" customHeight="1" x14ac:dyDescent="0.25">
      <c r="A1" s="4" t="s">
        <v>177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5.5" customHeight="1" x14ac:dyDescent="0.25">
      <c r="A2" s="3" t="s">
        <v>178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s="12" t="s">
        <v>179</v>
      </c>
      <c r="B4" s="12" t="s">
        <v>180</v>
      </c>
      <c r="C4" s="12" t="s">
        <v>181</v>
      </c>
      <c r="D4" s="12" t="s">
        <v>144</v>
      </c>
      <c r="E4" s="12" t="s">
        <v>182</v>
      </c>
      <c r="F4" s="12" t="s">
        <v>183</v>
      </c>
      <c r="G4" s="12" t="s">
        <v>184</v>
      </c>
      <c r="H4" s="12" t="s">
        <v>185</v>
      </c>
      <c r="I4" s="12" t="s">
        <v>186</v>
      </c>
      <c r="J4" s="12" t="s">
        <v>187</v>
      </c>
      <c r="K4" s="12" t="s">
        <v>26</v>
      </c>
    </row>
    <row r="5" spans="1:11" x14ac:dyDescent="0.25">
      <c r="A5" s="13" t="s">
        <v>188</v>
      </c>
      <c r="B5" s="13" t="s">
        <v>189</v>
      </c>
      <c r="C5" s="13" t="s">
        <v>190</v>
      </c>
      <c r="D5" s="13" t="s">
        <v>85</v>
      </c>
      <c r="E5" s="13" t="s">
        <v>61</v>
      </c>
      <c r="F5" s="13" t="s">
        <v>191</v>
      </c>
      <c r="G5" s="13" t="s">
        <v>192</v>
      </c>
      <c r="H5" s="13">
        <v>5000</v>
      </c>
      <c r="I5" s="13" t="s">
        <v>193</v>
      </c>
      <c r="J5" s="13" t="s">
        <v>194</v>
      </c>
      <c r="K5" s="13" t="s">
        <v>195</v>
      </c>
    </row>
    <row r="6" spans="1:11" x14ac:dyDescent="0.25">
      <c r="A6" s="14" t="s">
        <v>196</v>
      </c>
      <c r="B6" s="14" t="s">
        <v>197</v>
      </c>
      <c r="C6" s="14" t="s">
        <v>190</v>
      </c>
      <c r="D6" s="14" t="s">
        <v>95</v>
      </c>
      <c r="E6" s="14" t="s">
        <v>61</v>
      </c>
      <c r="F6" s="14" t="s">
        <v>198</v>
      </c>
      <c r="G6" s="14" t="s">
        <v>199</v>
      </c>
      <c r="H6" s="14">
        <v>1000</v>
      </c>
      <c r="I6" s="14" t="s">
        <v>193</v>
      </c>
      <c r="J6" s="14" t="s">
        <v>194</v>
      </c>
      <c r="K6" s="14" t="s">
        <v>200</v>
      </c>
    </row>
    <row r="7" spans="1:11" ht="25.5" x14ac:dyDescent="0.25">
      <c r="A7" s="13" t="s">
        <v>201</v>
      </c>
      <c r="B7" s="13" t="s">
        <v>202</v>
      </c>
      <c r="C7" s="13" t="s">
        <v>203</v>
      </c>
      <c r="D7" s="13" t="s">
        <v>103</v>
      </c>
      <c r="E7" s="13" t="s">
        <v>66</v>
      </c>
      <c r="F7" s="13" t="s">
        <v>204</v>
      </c>
      <c r="G7" s="13" t="s">
        <v>205</v>
      </c>
      <c r="H7" s="13">
        <v>2000</v>
      </c>
      <c r="I7" s="13" t="s">
        <v>206</v>
      </c>
      <c r="J7" s="13" t="s">
        <v>194</v>
      </c>
      <c r="K7" s="13" t="s">
        <v>207</v>
      </c>
    </row>
    <row r="8" spans="1:11" x14ac:dyDescent="0.25">
      <c r="A8" s="14" t="s">
        <v>208</v>
      </c>
      <c r="B8" s="14" t="s">
        <v>209</v>
      </c>
      <c r="C8" s="14" t="s">
        <v>203</v>
      </c>
      <c r="D8" s="14" t="s">
        <v>111</v>
      </c>
      <c r="E8" s="14" t="s">
        <v>66</v>
      </c>
      <c r="F8" s="14" t="s">
        <v>210</v>
      </c>
      <c r="G8" s="14" t="s">
        <v>211</v>
      </c>
      <c r="H8" s="14">
        <v>2000</v>
      </c>
      <c r="I8" s="14" t="s">
        <v>206</v>
      </c>
      <c r="J8" s="14" t="s">
        <v>194</v>
      </c>
      <c r="K8" s="14" t="s">
        <v>31</v>
      </c>
    </row>
    <row r="9" spans="1:11" x14ac:dyDescent="0.25">
      <c r="A9" s="13" t="s">
        <v>208</v>
      </c>
      <c r="B9" s="13" t="s">
        <v>209</v>
      </c>
      <c r="C9" s="13" t="s">
        <v>203</v>
      </c>
      <c r="D9" s="13" t="s">
        <v>111</v>
      </c>
      <c r="E9" s="13" t="s">
        <v>66</v>
      </c>
      <c r="F9" s="13" t="s">
        <v>212</v>
      </c>
      <c r="G9" s="13" t="s">
        <v>213</v>
      </c>
      <c r="H9" s="13">
        <v>2000</v>
      </c>
      <c r="I9" s="13" t="s">
        <v>206</v>
      </c>
      <c r="J9" s="13" t="s">
        <v>194</v>
      </c>
      <c r="K9" s="13" t="s">
        <v>214</v>
      </c>
    </row>
    <row r="10" spans="1:11" x14ac:dyDescent="0.25">
      <c r="A10" s="14" t="s">
        <v>215</v>
      </c>
      <c r="B10" s="14" t="s">
        <v>216</v>
      </c>
      <c r="C10" s="14" t="s">
        <v>217</v>
      </c>
      <c r="D10" s="14" t="s">
        <v>127</v>
      </c>
      <c r="E10" s="14" t="s">
        <v>61</v>
      </c>
      <c r="F10" s="14" t="s">
        <v>218</v>
      </c>
      <c r="G10" s="14" t="s">
        <v>219</v>
      </c>
      <c r="H10" s="14">
        <v>25000</v>
      </c>
      <c r="I10" s="14" t="s">
        <v>193</v>
      </c>
      <c r="J10" s="14" t="s">
        <v>194</v>
      </c>
      <c r="K10" s="14" t="s">
        <v>220</v>
      </c>
    </row>
    <row r="11" spans="1:11" x14ac:dyDescent="0.25">
      <c r="A11" s="13" t="s">
        <v>215</v>
      </c>
      <c r="B11" s="13" t="s">
        <v>216</v>
      </c>
      <c r="C11" s="13" t="s">
        <v>217</v>
      </c>
      <c r="D11" s="13" t="s">
        <v>127</v>
      </c>
      <c r="E11" s="13" t="s">
        <v>61</v>
      </c>
      <c r="F11" s="13" t="s">
        <v>221</v>
      </c>
      <c r="G11" s="13" t="s">
        <v>222</v>
      </c>
      <c r="H11" s="13">
        <v>5000</v>
      </c>
      <c r="I11" s="13" t="s">
        <v>193</v>
      </c>
      <c r="J11" s="13" t="s">
        <v>194</v>
      </c>
      <c r="K11" s="13" t="s">
        <v>31</v>
      </c>
    </row>
    <row r="12" spans="1:11" x14ac:dyDescent="0.25">
      <c r="A12" s="14" t="s">
        <v>215</v>
      </c>
      <c r="B12" s="14" t="s">
        <v>216</v>
      </c>
      <c r="C12" s="14" t="s">
        <v>217</v>
      </c>
      <c r="D12" s="14" t="s">
        <v>127</v>
      </c>
      <c r="E12" s="14" t="s">
        <v>61</v>
      </c>
      <c r="F12" s="14" t="s">
        <v>223</v>
      </c>
      <c r="G12" s="14" t="s">
        <v>224</v>
      </c>
      <c r="H12" s="14">
        <v>2000</v>
      </c>
      <c r="I12" s="14" t="s">
        <v>225</v>
      </c>
      <c r="J12" s="14" t="s">
        <v>194</v>
      </c>
      <c r="K12" s="14" t="s">
        <v>226</v>
      </c>
    </row>
    <row r="13" spans="1:11" x14ac:dyDescent="0.25">
      <c r="A13" s="13" t="s">
        <v>227</v>
      </c>
      <c r="B13" s="13" t="s">
        <v>228</v>
      </c>
      <c r="C13" s="13" t="s">
        <v>229</v>
      </c>
      <c r="D13" s="13" t="s">
        <v>85</v>
      </c>
      <c r="E13" s="13" t="s">
        <v>61</v>
      </c>
      <c r="F13" s="13" t="s">
        <v>230</v>
      </c>
      <c r="G13" s="13" t="s">
        <v>231</v>
      </c>
      <c r="H13" s="13">
        <v>3000</v>
      </c>
      <c r="I13" s="13" t="s">
        <v>193</v>
      </c>
      <c r="J13" s="13" t="s">
        <v>194</v>
      </c>
      <c r="K13" s="13" t="s">
        <v>232</v>
      </c>
    </row>
    <row r="14" spans="1:11" ht="38.25" x14ac:dyDescent="0.25">
      <c r="A14" s="15" t="s">
        <v>233</v>
      </c>
      <c r="B14" s="15" t="s">
        <v>234</v>
      </c>
      <c r="C14" s="15" t="s">
        <v>235</v>
      </c>
      <c r="D14" s="15" t="s">
        <v>85</v>
      </c>
      <c r="E14" s="15" t="s">
        <v>61</v>
      </c>
      <c r="F14" s="15" t="s">
        <v>236</v>
      </c>
      <c r="G14" s="15" t="s">
        <v>237</v>
      </c>
      <c r="H14" s="15">
        <v>4000</v>
      </c>
      <c r="I14" s="15" t="s">
        <v>193</v>
      </c>
      <c r="J14" s="15" t="s">
        <v>238</v>
      </c>
      <c r="K14" s="15" t="s">
        <v>239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D6A9F"/>
  </sheetPr>
  <dimension ref="A1:I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6" customWidth="1"/>
    <col min="3" max="3" width="18" customWidth="1"/>
    <col min="4" max="4" width="8" customWidth="1"/>
    <col min="5" max="5" width="15" customWidth="1"/>
    <col min="6" max="6" width="11" customWidth="1"/>
    <col min="7" max="7" width="13" customWidth="1"/>
    <col min="8" max="8" width="14" customWidth="1"/>
    <col min="9" max="9" width="40" customWidth="1"/>
  </cols>
  <sheetData>
    <row r="1" spans="1:9" ht="21.75" customHeight="1" x14ac:dyDescent="0.25">
      <c r="A1" s="4" t="s">
        <v>240</v>
      </c>
      <c r="B1" s="4"/>
      <c r="C1" s="4"/>
      <c r="D1" s="4"/>
      <c r="E1" s="4"/>
      <c r="F1" s="4"/>
      <c r="G1" s="4"/>
      <c r="H1" s="4"/>
      <c r="I1" s="4"/>
    </row>
    <row r="2" spans="1:9" ht="25.5" customHeight="1" x14ac:dyDescent="0.25">
      <c r="A2" s="3" t="s">
        <v>241</v>
      </c>
      <c r="B2" s="3"/>
      <c r="C2" s="3"/>
      <c r="D2" s="3"/>
      <c r="E2" s="3"/>
      <c r="F2" s="3"/>
      <c r="G2" s="3"/>
      <c r="H2" s="3"/>
      <c r="I2" s="3"/>
    </row>
    <row r="4" spans="1:9" ht="25.5" x14ac:dyDescent="0.25">
      <c r="A4" s="12" t="s">
        <v>20</v>
      </c>
      <c r="B4" s="12" t="s">
        <v>242</v>
      </c>
      <c r="C4" s="12" t="s">
        <v>243</v>
      </c>
      <c r="D4" s="12" t="s">
        <v>186</v>
      </c>
      <c r="E4" s="12" t="s">
        <v>244</v>
      </c>
      <c r="F4" s="12" t="s">
        <v>245</v>
      </c>
      <c r="G4" s="12" t="s">
        <v>246</v>
      </c>
      <c r="H4" s="12" t="s">
        <v>247</v>
      </c>
      <c r="I4" s="12" t="s">
        <v>26</v>
      </c>
    </row>
    <row r="5" spans="1:9" ht="25.5" x14ac:dyDescent="0.25">
      <c r="A5" s="13">
        <v>1</v>
      </c>
      <c r="B5" s="13" t="s">
        <v>191</v>
      </c>
      <c r="C5" s="13" t="s">
        <v>248</v>
      </c>
      <c r="D5" s="13" t="s">
        <v>193</v>
      </c>
      <c r="E5" s="13" t="s">
        <v>192</v>
      </c>
      <c r="F5" s="13">
        <v>5000</v>
      </c>
      <c r="G5" s="13">
        <v>500</v>
      </c>
      <c r="H5" s="13" t="s">
        <v>188</v>
      </c>
      <c r="I5" s="13" t="s">
        <v>249</v>
      </c>
    </row>
    <row r="6" spans="1:9" x14ac:dyDescent="0.25">
      <c r="A6" s="14">
        <v>2</v>
      </c>
      <c r="B6" s="14" t="s">
        <v>198</v>
      </c>
      <c r="C6" s="14" t="s">
        <v>250</v>
      </c>
      <c r="D6" s="14" t="s">
        <v>193</v>
      </c>
      <c r="E6" s="14" t="s">
        <v>199</v>
      </c>
      <c r="F6" s="14">
        <v>1000</v>
      </c>
      <c r="G6" s="14">
        <v>200</v>
      </c>
      <c r="H6" s="14" t="s">
        <v>196</v>
      </c>
      <c r="I6" s="14" t="s">
        <v>251</v>
      </c>
    </row>
    <row r="7" spans="1:9" x14ac:dyDescent="0.25">
      <c r="A7" s="13">
        <v>3</v>
      </c>
      <c r="B7" s="13" t="s">
        <v>204</v>
      </c>
      <c r="C7" s="13" t="s">
        <v>252</v>
      </c>
      <c r="D7" s="13" t="s">
        <v>206</v>
      </c>
      <c r="E7" s="13" t="s">
        <v>205</v>
      </c>
      <c r="F7" s="13">
        <v>2000</v>
      </c>
      <c r="G7" s="13">
        <v>250</v>
      </c>
      <c r="H7" s="13" t="s">
        <v>201</v>
      </c>
      <c r="I7" s="13" t="s">
        <v>253</v>
      </c>
    </row>
    <row r="8" spans="1:9" x14ac:dyDescent="0.25">
      <c r="A8" s="14">
        <v>4</v>
      </c>
      <c r="B8" s="14" t="s">
        <v>210</v>
      </c>
      <c r="C8" s="14" t="s">
        <v>252</v>
      </c>
      <c r="D8" s="14" t="s">
        <v>206</v>
      </c>
      <c r="E8" s="14" t="s">
        <v>211</v>
      </c>
      <c r="F8" s="14">
        <v>2000</v>
      </c>
      <c r="G8" s="14">
        <v>300</v>
      </c>
      <c r="H8" s="14" t="s">
        <v>208</v>
      </c>
      <c r="I8" s="14" t="s">
        <v>254</v>
      </c>
    </row>
    <row r="9" spans="1:9" x14ac:dyDescent="0.25">
      <c r="A9" s="13">
        <v>5</v>
      </c>
      <c r="B9" s="13" t="s">
        <v>212</v>
      </c>
      <c r="C9" s="13" t="s">
        <v>252</v>
      </c>
      <c r="D9" s="13" t="s">
        <v>206</v>
      </c>
      <c r="E9" s="13" t="s">
        <v>213</v>
      </c>
      <c r="F9" s="13">
        <v>2000</v>
      </c>
      <c r="G9" s="13">
        <v>300</v>
      </c>
      <c r="H9" s="13" t="s">
        <v>208</v>
      </c>
      <c r="I9" s="13" t="s">
        <v>255</v>
      </c>
    </row>
    <row r="10" spans="1:9" x14ac:dyDescent="0.25">
      <c r="A10" s="14">
        <v>6</v>
      </c>
      <c r="B10" s="14" t="s">
        <v>218</v>
      </c>
      <c r="C10" s="14" t="s">
        <v>256</v>
      </c>
      <c r="D10" s="14" t="s">
        <v>193</v>
      </c>
      <c r="E10" s="14" t="s">
        <v>219</v>
      </c>
      <c r="F10" s="14">
        <v>25000</v>
      </c>
      <c r="G10" s="14">
        <v>5000</v>
      </c>
      <c r="H10" s="14" t="s">
        <v>215</v>
      </c>
      <c r="I10" s="14" t="s">
        <v>257</v>
      </c>
    </row>
    <row r="11" spans="1:9" x14ac:dyDescent="0.25">
      <c r="A11" s="13">
        <v>7</v>
      </c>
      <c r="B11" s="13" t="s">
        <v>221</v>
      </c>
      <c r="C11" s="13" t="s">
        <v>256</v>
      </c>
      <c r="D11" s="13" t="s">
        <v>193</v>
      </c>
      <c r="E11" s="13" t="s">
        <v>222</v>
      </c>
      <c r="F11" s="13">
        <v>5000</v>
      </c>
      <c r="G11" s="13">
        <v>1000</v>
      </c>
      <c r="H11" s="13" t="s">
        <v>215</v>
      </c>
      <c r="I11" s="13" t="s">
        <v>258</v>
      </c>
    </row>
    <row r="12" spans="1:9" x14ac:dyDescent="0.25">
      <c r="A12" s="14">
        <v>8</v>
      </c>
      <c r="B12" s="14" t="s">
        <v>223</v>
      </c>
      <c r="C12" s="14" t="s">
        <v>259</v>
      </c>
      <c r="D12" s="14" t="s">
        <v>225</v>
      </c>
      <c r="E12" s="14" t="s">
        <v>224</v>
      </c>
      <c r="F12" s="14">
        <v>2000</v>
      </c>
      <c r="G12" s="14">
        <v>250</v>
      </c>
      <c r="H12" s="14" t="s">
        <v>215</v>
      </c>
      <c r="I12" s="14" t="s">
        <v>260</v>
      </c>
    </row>
    <row r="13" spans="1:9" x14ac:dyDescent="0.25">
      <c r="A13" s="13">
        <v>9</v>
      </c>
      <c r="B13" s="13" t="s">
        <v>230</v>
      </c>
      <c r="C13" s="13" t="s">
        <v>248</v>
      </c>
      <c r="D13" s="13" t="s">
        <v>193</v>
      </c>
      <c r="E13" s="13" t="s">
        <v>231</v>
      </c>
      <c r="F13" s="13">
        <v>3000</v>
      </c>
      <c r="G13" s="13">
        <v>500</v>
      </c>
      <c r="H13" s="13" t="s">
        <v>227</v>
      </c>
      <c r="I13" s="13" t="s">
        <v>261</v>
      </c>
    </row>
    <row r="14" spans="1:9" x14ac:dyDescent="0.25">
      <c r="A14" s="14">
        <v>10</v>
      </c>
      <c r="B14" s="14" t="s">
        <v>262</v>
      </c>
      <c r="C14" s="14" t="s">
        <v>263</v>
      </c>
      <c r="D14" s="14" t="s">
        <v>206</v>
      </c>
      <c r="E14" s="14" t="s">
        <v>264</v>
      </c>
      <c r="F14" s="14">
        <v>2000</v>
      </c>
      <c r="G14" s="14">
        <v>300</v>
      </c>
      <c r="H14" s="14" t="s">
        <v>265</v>
      </c>
      <c r="I14" s="14" t="s">
        <v>266</v>
      </c>
    </row>
    <row r="15" spans="1:9" x14ac:dyDescent="0.25">
      <c r="A15" s="13">
        <v>11</v>
      </c>
      <c r="B15" s="13" t="s">
        <v>267</v>
      </c>
      <c r="C15" s="13" t="s">
        <v>263</v>
      </c>
      <c r="D15" s="13" t="s">
        <v>206</v>
      </c>
      <c r="E15" s="13" t="s">
        <v>268</v>
      </c>
      <c r="F15" s="13">
        <v>2000</v>
      </c>
      <c r="G15" s="13">
        <v>300</v>
      </c>
      <c r="H15" s="13" t="s">
        <v>265</v>
      </c>
      <c r="I15" s="13" t="s">
        <v>269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D6A9F"/>
  </sheetPr>
  <dimension ref="A1:H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24" customWidth="1"/>
    <col min="3" max="3" width="8" customWidth="1"/>
    <col min="4" max="4" width="13" customWidth="1"/>
    <col min="5" max="5" width="12" customWidth="1"/>
    <col min="6" max="6" width="11" customWidth="1"/>
    <col min="7" max="7" width="22" customWidth="1"/>
    <col min="8" max="8" width="46" customWidth="1"/>
  </cols>
  <sheetData>
    <row r="1" spans="1:8" ht="21.75" customHeight="1" x14ac:dyDescent="0.25">
      <c r="A1" s="4" t="s">
        <v>270</v>
      </c>
      <c r="B1" s="4"/>
      <c r="C1" s="4"/>
      <c r="D1" s="4"/>
      <c r="E1" s="4"/>
      <c r="F1" s="4"/>
      <c r="G1" s="4"/>
      <c r="H1" s="4"/>
    </row>
    <row r="2" spans="1:8" ht="25.5" customHeight="1" x14ac:dyDescent="0.25">
      <c r="A2" s="3" t="s">
        <v>271</v>
      </c>
      <c r="B2" s="3"/>
      <c r="C2" s="3"/>
      <c r="D2" s="3"/>
      <c r="E2" s="3"/>
      <c r="F2" s="3"/>
      <c r="G2" s="3"/>
      <c r="H2" s="3"/>
    </row>
    <row r="4" spans="1:8" x14ac:dyDescent="0.25">
      <c r="A4" s="12" t="s">
        <v>272</v>
      </c>
      <c r="B4" s="12" t="s">
        <v>242</v>
      </c>
      <c r="C4" s="12" t="s">
        <v>186</v>
      </c>
      <c r="D4" s="12" t="s">
        <v>273</v>
      </c>
      <c r="E4" s="12" t="s">
        <v>274</v>
      </c>
      <c r="F4" s="12" t="s">
        <v>78</v>
      </c>
      <c r="G4" s="12" t="s">
        <v>275</v>
      </c>
      <c r="H4" s="12" t="s">
        <v>276</v>
      </c>
    </row>
    <row r="5" spans="1:8" ht="25.5" x14ac:dyDescent="0.25">
      <c r="A5" s="13" t="s">
        <v>277</v>
      </c>
      <c r="B5" s="13" t="s">
        <v>191</v>
      </c>
      <c r="C5" s="13" t="s">
        <v>193</v>
      </c>
      <c r="D5" s="13">
        <v>5000</v>
      </c>
      <c r="E5" s="13">
        <v>5000</v>
      </c>
      <c r="F5" s="13" t="s">
        <v>278</v>
      </c>
      <c r="G5" s="13" t="s">
        <v>279</v>
      </c>
      <c r="H5" s="13" t="s">
        <v>280</v>
      </c>
    </row>
    <row r="6" spans="1:8" ht="25.5" x14ac:dyDescent="0.25">
      <c r="A6" s="14" t="s">
        <v>281</v>
      </c>
      <c r="B6" s="14" t="s">
        <v>230</v>
      </c>
      <c r="C6" s="14" t="s">
        <v>193</v>
      </c>
      <c r="D6" s="14">
        <v>3000</v>
      </c>
      <c r="E6" s="14">
        <v>3000</v>
      </c>
      <c r="F6" s="14" t="s">
        <v>278</v>
      </c>
      <c r="G6" s="14" t="s">
        <v>282</v>
      </c>
      <c r="H6" s="14" t="s">
        <v>283</v>
      </c>
    </row>
    <row r="7" spans="1:8" ht="25.5" x14ac:dyDescent="0.25">
      <c r="A7" s="13" t="s">
        <v>284</v>
      </c>
      <c r="B7" s="13" t="s">
        <v>285</v>
      </c>
      <c r="C7" s="13" t="s">
        <v>193</v>
      </c>
      <c r="D7" s="13">
        <v>500</v>
      </c>
      <c r="E7" s="13">
        <v>500</v>
      </c>
      <c r="F7" s="13" t="s">
        <v>278</v>
      </c>
      <c r="G7" s="13" t="s">
        <v>286</v>
      </c>
      <c r="H7" s="13" t="s">
        <v>287</v>
      </c>
    </row>
    <row r="8" spans="1:8" x14ac:dyDescent="0.25">
      <c r="A8" s="14" t="s">
        <v>288</v>
      </c>
      <c r="B8" s="14" t="s">
        <v>289</v>
      </c>
      <c r="C8" s="14" t="s">
        <v>193</v>
      </c>
      <c r="D8" s="14">
        <v>300</v>
      </c>
      <c r="E8" s="14">
        <v>300</v>
      </c>
      <c r="F8" s="14" t="s">
        <v>278</v>
      </c>
      <c r="G8" s="14" t="s">
        <v>286</v>
      </c>
      <c r="H8" s="14" t="s">
        <v>290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A4FA3"/>
  </sheetPr>
  <dimension ref="A1:E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5" customWidth="1"/>
    <col min="3" max="3" width="40" customWidth="1"/>
    <col min="4" max="4" width="56" customWidth="1"/>
    <col min="5" max="5" width="40" customWidth="1"/>
  </cols>
  <sheetData>
    <row r="1" spans="1:5" ht="21.75" customHeight="1" x14ac:dyDescent="0.25">
      <c r="A1" s="4" t="s">
        <v>291</v>
      </c>
      <c r="B1" s="4"/>
      <c r="C1" s="4"/>
      <c r="D1" s="4"/>
      <c r="E1" s="4"/>
    </row>
    <row r="2" spans="1:5" ht="25.5" customHeight="1" x14ac:dyDescent="0.25">
      <c r="A2" s="3" t="s">
        <v>292</v>
      </c>
      <c r="B2" s="3"/>
      <c r="C2" s="3"/>
      <c r="D2" s="3"/>
      <c r="E2" s="3"/>
    </row>
    <row r="4" spans="1:5" x14ac:dyDescent="0.25">
      <c r="A4" s="12" t="s">
        <v>293</v>
      </c>
      <c r="B4" s="12" t="s">
        <v>294</v>
      </c>
      <c r="C4" s="12" t="s">
        <v>295</v>
      </c>
      <c r="D4" s="12" t="s">
        <v>296</v>
      </c>
      <c r="E4" s="12" t="s">
        <v>26</v>
      </c>
    </row>
    <row r="5" spans="1:5" ht="51" x14ac:dyDescent="0.25">
      <c r="A5" s="13" t="s">
        <v>297</v>
      </c>
      <c r="B5" s="13" t="s">
        <v>298</v>
      </c>
      <c r="C5" s="13" t="s">
        <v>299</v>
      </c>
      <c r="D5" s="13" t="s">
        <v>300</v>
      </c>
      <c r="E5" s="13" t="s">
        <v>301</v>
      </c>
    </row>
    <row r="6" spans="1:5" ht="25.5" x14ac:dyDescent="0.25">
      <c r="A6" s="14" t="s">
        <v>302</v>
      </c>
      <c r="B6" s="14" t="s">
        <v>303</v>
      </c>
      <c r="C6" s="14" t="s">
        <v>304</v>
      </c>
      <c r="D6" s="14" t="s">
        <v>305</v>
      </c>
      <c r="E6" s="14" t="s">
        <v>306</v>
      </c>
    </row>
    <row r="7" spans="1:5" ht="38.25" x14ac:dyDescent="0.25">
      <c r="A7" s="13" t="s">
        <v>307</v>
      </c>
      <c r="B7" s="13" t="s">
        <v>308</v>
      </c>
      <c r="C7" s="13" t="s">
        <v>309</v>
      </c>
      <c r="D7" s="13" t="s">
        <v>310</v>
      </c>
      <c r="E7" s="13" t="s">
        <v>311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4FA3"/>
  </sheetPr>
  <dimension ref="A1:K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24" customWidth="1"/>
    <col min="3" max="3" width="14" customWidth="1"/>
    <col min="4" max="4" width="13" customWidth="1"/>
    <col min="5" max="5" width="11" customWidth="1"/>
    <col min="6" max="6" width="16" customWidth="1"/>
    <col min="7" max="7" width="26" customWidth="1"/>
    <col min="8" max="8" width="22" customWidth="1"/>
    <col min="9" max="9" width="14" customWidth="1"/>
    <col min="10" max="10" width="17" customWidth="1"/>
    <col min="11" max="11" width="46" customWidth="1"/>
  </cols>
  <sheetData>
    <row r="1" spans="1:11" ht="21.75" customHeight="1" x14ac:dyDescent="0.25">
      <c r="A1" s="4" t="s">
        <v>312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5.5" customHeight="1" x14ac:dyDescent="0.25">
      <c r="A2" s="3" t="s">
        <v>313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25.5" x14ac:dyDescent="0.25">
      <c r="A4" s="12" t="s">
        <v>314</v>
      </c>
      <c r="B4" s="12" t="s">
        <v>315</v>
      </c>
      <c r="C4" s="12" t="s">
        <v>294</v>
      </c>
      <c r="D4" s="12" t="s">
        <v>316</v>
      </c>
      <c r="E4" s="12" t="s">
        <v>317</v>
      </c>
      <c r="F4" s="12" t="s">
        <v>318</v>
      </c>
      <c r="G4" s="12" t="s">
        <v>319</v>
      </c>
      <c r="H4" s="12" t="s">
        <v>320</v>
      </c>
      <c r="I4" s="12" t="s">
        <v>321</v>
      </c>
      <c r="J4" s="12" t="s">
        <v>322</v>
      </c>
      <c r="K4" s="12" t="s">
        <v>323</v>
      </c>
    </row>
    <row r="5" spans="1:11" ht="25.5" x14ac:dyDescent="0.25">
      <c r="A5" s="13" t="s">
        <v>324</v>
      </c>
      <c r="B5" s="13" t="s">
        <v>297</v>
      </c>
      <c r="C5" s="13" t="s">
        <v>298</v>
      </c>
      <c r="D5" s="13" t="s">
        <v>325</v>
      </c>
      <c r="E5" s="13" t="s">
        <v>326</v>
      </c>
      <c r="F5" s="13" t="s">
        <v>327</v>
      </c>
      <c r="G5" s="13" t="s">
        <v>328</v>
      </c>
      <c r="H5" s="13" t="s">
        <v>329</v>
      </c>
      <c r="I5" s="13" t="s">
        <v>330</v>
      </c>
      <c r="J5" s="13" t="s">
        <v>331</v>
      </c>
      <c r="K5" s="13" t="s">
        <v>332</v>
      </c>
    </row>
    <row r="6" spans="1:11" x14ac:dyDescent="0.25">
      <c r="A6" s="14" t="s">
        <v>333</v>
      </c>
      <c r="B6" s="14" t="s">
        <v>302</v>
      </c>
      <c r="C6" s="14" t="s">
        <v>303</v>
      </c>
      <c r="D6" s="14" t="s">
        <v>334</v>
      </c>
      <c r="E6" s="14" t="s">
        <v>326</v>
      </c>
      <c r="F6" s="14" t="s">
        <v>335</v>
      </c>
      <c r="G6" s="14" t="s">
        <v>336</v>
      </c>
      <c r="H6" s="14" t="s">
        <v>337</v>
      </c>
      <c r="I6" s="14" t="s">
        <v>338</v>
      </c>
      <c r="J6" s="14" t="s">
        <v>339</v>
      </c>
      <c r="K6" s="14" t="s">
        <v>340</v>
      </c>
    </row>
    <row r="7" spans="1:11" ht="25.5" x14ac:dyDescent="0.25">
      <c r="A7" s="13" t="s">
        <v>341</v>
      </c>
      <c r="B7" s="13" t="s">
        <v>307</v>
      </c>
      <c r="C7" s="13" t="s">
        <v>308</v>
      </c>
      <c r="D7" s="13" t="s">
        <v>342</v>
      </c>
      <c r="E7" s="13" t="s">
        <v>326</v>
      </c>
      <c r="F7" s="13" t="s">
        <v>343</v>
      </c>
      <c r="G7" s="13" t="s">
        <v>344</v>
      </c>
      <c r="H7" s="13" t="s">
        <v>345</v>
      </c>
      <c r="I7" s="13" t="s">
        <v>346</v>
      </c>
      <c r="J7" s="13" t="s">
        <v>331</v>
      </c>
      <c r="K7" s="13" t="s">
        <v>347</v>
      </c>
    </row>
    <row r="8" spans="1:11" ht="38.25" x14ac:dyDescent="0.25">
      <c r="A8" s="15" t="s">
        <v>348</v>
      </c>
      <c r="B8" s="15" t="s">
        <v>307</v>
      </c>
      <c r="C8" s="15" t="s">
        <v>308</v>
      </c>
      <c r="D8" s="15" t="s">
        <v>342</v>
      </c>
      <c r="E8" s="15" t="s">
        <v>326</v>
      </c>
      <c r="F8" s="15" t="s">
        <v>343</v>
      </c>
      <c r="G8" s="15" t="s">
        <v>349</v>
      </c>
      <c r="H8" s="15" t="s">
        <v>345</v>
      </c>
      <c r="I8" s="15" t="s">
        <v>350</v>
      </c>
      <c r="J8" s="15" t="s">
        <v>331</v>
      </c>
      <c r="K8" s="15" t="s">
        <v>351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A4FA3"/>
  </sheetPr>
  <dimension ref="A1:K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20" customWidth="1"/>
    <col min="3" max="3" width="15" customWidth="1"/>
    <col min="4" max="4" width="10" customWidth="1"/>
    <col min="5" max="6" width="11" customWidth="1"/>
    <col min="7" max="7" width="13" customWidth="1"/>
    <col min="8" max="8" width="16" customWidth="1"/>
    <col min="9" max="9" width="13" customWidth="1"/>
    <col min="10" max="10" width="9" customWidth="1"/>
    <col min="11" max="11" width="40" customWidth="1"/>
  </cols>
  <sheetData>
    <row r="1" spans="1:11" ht="21.75" customHeight="1" x14ac:dyDescent="0.25">
      <c r="A1" s="4" t="s">
        <v>352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5.5" customHeight="1" x14ac:dyDescent="0.25">
      <c r="A2" s="3" t="s">
        <v>353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25.5" x14ac:dyDescent="0.25">
      <c r="A4" s="12" t="s">
        <v>314</v>
      </c>
      <c r="B4" s="12" t="s">
        <v>354</v>
      </c>
      <c r="C4" s="12" t="s">
        <v>355</v>
      </c>
      <c r="D4" s="12" t="s">
        <v>356</v>
      </c>
      <c r="E4" s="12" t="s">
        <v>357</v>
      </c>
      <c r="F4" s="12" t="s">
        <v>358</v>
      </c>
      <c r="G4" s="12" t="s">
        <v>359</v>
      </c>
      <c r="H4" s="12" t="s">
        <v>360</v>
      </c>
      <c r="I4" s="12" t="s">
        <v>361</v>
      </c>
      <c r="J4" s="12" t="s">
        <v>362</v>
      </c>
      <c r="K4" s="12" t="s">
        <v>26</v>
      </c>
    </row>
    <row r="5" spans="1:11" x14ac:dyDescent="0.25">
      <c r="A5" s="13" t="s">
        <v>324</v>
      </c>
      <c r="B5" s="13" t="s">
        <v>118</v>
      </c>
      <c r="C5" s="13" t="s">
        <v>363</v>
      </c>
      <c r="D5" s="13" t="s">
        <v>364</v>
      </c>
      <c r="E5" s="13" t="s">
        <v>194</v>
      </c>
      <c r="F5" s="13" t="s">
        <v>194</v>
      </c>
      <c r="G5" s="13" t="s">
        <v>194</v>
      </c>
      <c r="H5" s="13" t="s">
        <v>365</v>
      </c>
      <c r="I5" s="13" t="s">
        <v>366</v>
      </c>
      <c r="J5" s="13" t="s">
        <v>367</v>
      </c>
      <c r="K5" s="13" t="s">
        <v>368</v>
      </c>
    </row>
    <row r="6" spans="1:11" x14ac:dyDescent="0.25">
      <c r="A6" s="14" t="s">
        <v>333</v>
      </c>
      <c r="B6" s="14" t="s">
        <v>118</v>
      </c>
      <c r="C6" s="14" t="s">
        <v>369</v>
      </c>
      <c r="D6" s="14" t="s">
        <v>370</v>
      </c>
      <c r="E6" s="14" t="s">
        <v>194</v>
      </c>
      <c r="F6" s="14" t="s">
        <v>194</v>
      </c>
      <c r="G6" s="14" t="s">
        <v>194</v>
      </c>
      <c r="H6" s="14" t="s">
        <v>365</v>
      </c>
      <c r="I6" s="14" t="s">
        <v>371</v>
      </c>
      <c r="J6" s="14" t="s">
        <v>367</v>
      </c>
      <c r="K6" s="14" t="s">
        <v>372</v>
      </c>
    </row>
    <row r="7" spans="1:11" x14ac:dyDescent="0.25">
      <c r="A7" s="13" t="s">
        <v>341</v>
      </c>
      <c r="B7" s="13" t="s">
        <v>118</v>
      </c>
      <c r="C7" s="13" t="s">
        <v>373</v>
      </c>
      <c r="D7" s="13" t="s">
        <v>374</v>
      </c>
      <c r="E7" s="13" t="s">
        <v>194</v>
      </c>
      <c r="F7" s="13" t="s">
        <v>194</v>
      </c>
      <c r="G7" s="13" t="s">
        <v>194</v>
      </c>
      <c r="H7" s="13" t="s">
        <v>194</v>
      </c>
      <c r="I7" s="13" t="s">
        <v>365</v>
      </c>
      <c r="J7" s="13" t="s">
        <v>367</v>
      </c>
      <c r="K7" s="13" t="s">
        <v>375</v>
      </c>
    </row>
    <row r="8" spans="1:11" ht="38.25" x14ac:dyDescent="0.25">
      <c r="A8" s="15" t="s">
        <v>348</v>
      </c>
      <c r="B8" s="15" t="s">
        <v>118</v>
      </c>
      <c r="C8" s="15" t="s">
        <v>376</v>
      </c>
      <c r="D8" s="15" t="s">
        <v>377</v>
      </c>
      <c r="E8" s="15" t="s">
        <v>378</v>
      </c>
      <c r="F8" s="15" t="s">
        <v>194</v>
      </c>
      <c r="G8" s="15" t="s">
        <v>194</v>
      </c>
      <c r="H8" s="15" t="s">
        <v>194</v>
      </c>
      <c r="I8" s="15" t="s">
        <v>365</v>
      </c>
      <c r="J8" s="15" t="s">
        <v>378</v>
      </c>
      <c r="K8" s="15" t="s">
        <v>379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23B3B"/>
  </sheetPr>
  <dimension ref="A1:H1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22" customWidth="1"/>
    <col min="3" max="3" width="26" customWidth="1"/>
    <col min="4" max="4" width="16" customWidth="1"/>
    <col min="5" max="5" width="40" customWidth="1"/>
    <col min="6" max="6" width="22" customWidth="1"/>
    <col min="7" max="7" width="44" customWidth="1"/>
    <col min="8" max="8" width="40" customWidth="1"/>
  </cols>
  <sheetData>
    <row r="1" spans="1:8" ht="21.75" customHeight="1" x14ac:dyDescent="0.25">
      <c r="A1" s="4" t="s">
        <v>380</v>
      </c>
      <c r="B1" s="4"/>
      <c r="C1" s="4"/>
      <c r="D1" s="4"/>
      <c r="E1" s="4"/>
      <c r="F1" s="4"/>
      <c r="G1" s="4"/>
      <c r="H1" s="4"/>
    </row>
    <row r="2" spans="1:8" ht="25.5" customHeight="1" x14ac:dyDescent="0.25">
      <c r="A2" s="3" t="s">
        <v>381</v>
      </c>
      <c r="B2" s="3"/>
      <c r="C2" s="3"/>
      <c r="D2" s="3"/>
      <c r="E2" s="3"/>
      <c r="F2" s="3"/>
      <c r="G2" s="3"/>
      <c r="H2" s="3"/>
    </row>
    <row r="4" spans="1:8" x14ac:dyDescent="0.25">
      <c r="A4" s="12" t="s">
        <v>382</v>
      </c>
      <c r="B4" s="12" t="s">
        <v>76</v>
      </c>
      <c r="C4" s="12" t="s">
        <v>383</v>
      </c>
      <c r="D4" s="12" t="s">
        <v>384</v>
      </c>
      <c r="E4" s="12" t="s">
        <v>385</v>
      </c>
      <c r="F4" s="12" t="s">
        <v>386</v>
      </c>
      <c r="G4" s="12" t="s">
        <v>387</v>
      </c>
      <c r="H4" s="12" t="s">
        <v>388</v>
      </c>
    </row>
    <row r="5" spans="1:8" ht="25.5" x14ac:dyDescent="0.25">
      <c r="A5" s="13" t="s">
        <v>389</v>
      </c>
      <c r="B5" s="13" t="s">
        <v>390</v>
      </c>
      <c r="C5" s="13" t="s">
        <v>391</v>
      </c>
      <c r="D5" s="13" t="s">
        <v>392</v>
      </c>
      <c r="E5" s="13" t="s">
        <v>393</v>
      </c>
      <c r="F5" s="13" t="s">
        <v>394</v>
      </c>
      <c r="G5" s="13" t="s">
        <v>395</v>
      </c>
      <c r="H5" s="13" t="s">
        <v>396</v>
      </c>
    </row>
    <row r="6" spans="1:8" ht="25.5" x14ac:dyDescent="0.25">
      <c r="A6" s="14" t="s">
        <v>397</v>
      </c>
      <c r="B6" s="14" t="s">
        <v>390</v>
      </c>
      <c r="C6" s="14" t="s">
        <v>398</v>
      </c>
      <c r="D6" s="14" t="s">
        <v>392</v>
      </c>
      <c r="E6" s="14" t="s">
        <v>399</v>
      </c>
      <c r="F6" s="14" t="s">
        <v>400</v>
      </c>
      <c r="G6" s="14" t="s">
        <v>401</v>
      </c>
      <c r="H6" s="14" t="s">
        <v>402</v>
      </c>
    </row>
    <row r="7" spans="1:8" ht="25.5" x14ac:dyDescent="0.25">
      <c r="A7" s="13" t="s">
        <v>403</v>
      </c>
      <c r="B7" s="13" t="s">
        <v>404</v>
      </c>
      <c r="C7" s="13" t="s">
        <v>405</v>
      </c>
      <c r="D7" s="13" t="s">
        <v>105</v>
      </c>
      <c r="E7" s="13" t="s">
        <v>406</v>
      </c>
      <c r="F7" s="13" t="s">
        <v>407</v>
      </c>
      <c r="G7" s="13" t="s">
        <v>408</v>
      </c>
      <c r="H7" s="13" t="s">
        <v>409</v>
      </c>
    </row>
    <row r="8" spans="1:8" ht="25.5" x14ac:dyDescent="0.25">
      <c r="A8" s="14" t="s">
        <v>410</v>
      </c>
      <c r="B8" s="14" t="s">
        <v>390</v>
      </c>
      <c r="C8" s="14" t="s">
        <v>411</v>
      </c>
      <c r="D8" s="14" t="s">
        <v>412</v>
      </c>
      <c r="E8" s="14" t="s">
        <v>413</v>
      </c>
      <c r="F8" s="14" t="s">
        <v>414</v>
      </c>
      <c r="G8" s="14" t="s">
        <v>415</v>
      </c>
      <c r="H8" s="14" t="s">
        <v>416</v>
      </c>
    </row>
    <row r="9" spans="1:8" ht="51" x14ac:dyDescent="0.25">
      <c r="A9" s="13" t="s">
        <v>417</v>
      </c>
      <c r="B9" s="13" t="s">
        <v>418</v>
      </c>
      <c r="C9" s="13" t="s">
        <v>397</v>
      </c>
      <c r="D9" s="13" t="s">
        <v>419</v>
      </c>
      <c r="E9" s="13" t="s">
        <v>420</v>
      </c>
      <c r="F9" s="13" t="s">
        <v>421</v>
      </c>
      <c r="G9" s="13" t="s">
        <v>422</v>
      </c>
      <c r="H9" s="13" t="s">
        <v>423</v>
      </c>
    </row>
    <row r="10" spans="1:8" ht="38.25" x14ac:dyDescent="0.25">
      <c r="A10" s="16" t="s">
        <v>424</v>
      </c>
      <c r="B10" s="16" t="s">
        <v>425</v>
      </c>
      <c r="C10" s="16" t="s">
        <v>426</v>
      </c>
      <c r="D10" s="16" t="s">
        <v>427</v>
      </c>
      <c r="E10" s="16" t="s">
        <v>428</v>
      </c>
      <c r="F10" s="16" t="s">
        <v>429</v>
      </c>
      <c r="G10" s="16" t="s">
        <v>430</v>
      </c>
      <c r="H10" s="16" t="s">
        <v>431</v>
      </c>
    </row>
    <row r="11" spans="1:8" ht="25.5" x14ac:dyDescent="0.25">
      <c r="A11" s="16" t="s">
        <v>432</v>
      </c>
      <c r="B11" s="16" t="s">
        <v>425</v>
      </c>
      <c r="C11" s="16" t="s">
        <v>433</v>
      </c>
      <c r="D11" s="16" t="s">
        <v>434</v>
      </c>
      <c r="E11" s="16" t="s">
        <v>435</v>
      </c>
      <c r="F11" s="16" t="s">
        <v>436</v>
      </c>
      <c r="G11" s="16" t="s">
        <v>437</v>
      </c>
      <c r="H11" s="16" t="s">
        <v>438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07A1E"/>
  </sheetPr>
  <dimension ref="A1:I3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0" customWidth="1"/>
    <col min="3" max="3" width="16" customWidth="1"/>
    <col min="4" max="4" width="50" customWidth="1"/>
    <col min="5" max="5" width="56" customWidth="1"/>
    <col min="6" max="6" width="11" customWidth="1"/>
    <col min="7" max="7" width="9" customWidth="1"/>
    <col min="8" max="8" width="12" customWidth="1"/>
    <col min="9" max="9" width="26" customWidth="1"/>
  </cols>
  <sheetData>
    <row r="1" spans="1:9" ht="18" x14ac:dyDescent="0.25">
      <c r="A1" s="2" t="s">
        <v>439</v>
      </c>
      <c r="B1" s="2"/>
      <c r="C1" s="2"/>
      <c r="D1" s="2"/>
      <c r="E1" s="2"/>
      <c r="F1" s="2"/>
      <c r="G1" s="2"/>
      <c r="H1" s="2"/>
      <c r="I1" s="2"/>
    </row>
    <row r="2" spans="1:9" ht="25.5" customHeight="1" x14ac:dyDescent="0.25">
      <c r="A2" s="1" t="s">
        <v>440</v>
      </c>
      <c r="B2" s="1"/>
      <c r="C2" s="1"/>
      <c r="D2" s="1"/>
      <c r="E2" s="1"/>
      <c r="F2" s="1"/>
      <c r="G2" s="1"/>
      <c r="H2" s="1"/>
      <c r="I2" s="1"/>
    </row>
    <row r="4" spans="1:9" x14ac:dyDescent="0.25">
      <c r="A4" s="18" t="s">
        <v>441</v>
      </c>
      <c r="B4" s="18" t="s">
        <v>442</v>
      </c>
      <c r="C4" s="18" t="s">
        <v>443</v>
      </c>
      <c r="D4" s="18" t="s">
        <v>444</v>
      </c>
      <c r="E4" s="18" t="s">
        <v>323</v>
      </c>
      <c r="F4" s="18" t="s">
        <v>445</v>
      </c>
      <c r="G4" s="18" t="s">
        <v>24</v>
      </c>
      <c r="H4" s="18" t="s">
        <v>181</v>
      </c>
      <c r="I4" s="18" t="s">
        <v>26</v>
      </c>
    </row>
    <row r="5" spans="1:9" ht="25.5" x14ac:dyDescent="0.25">
      <c r="A5" s="13" t="s">
        <v>446</v>
      </c>
      <c r="B5" s="13" t="s">
        <v>447</v>
      </c>
      <c r="C5" s="13" t="s">
        <v>28</v>
      </c>
      <c r="D5" s="13" t="s">
        <v>448</v>
      </c>
      <c r="E5" s="13" t="s">
        <v>449</v>
      </c>
      <c r="F5" s="13"/>
      <c r="G5" s="13"/>
      <c r="H5" s="13"/>
      <c r="I5" s="13"/>
    </row>
    <row r="6" spans="1:9" x14ac:dyDescent="0.25">
      <c r="A6" s="14" t="s">
        <v>450</v>
      </c>
      <c r="B6" s="14" t="s">
        <v>447</v>
      </c>
      <c r="C6" s="14" t="s">
        <v>28</v>
      </c>
      <c r="D6" s="14" t="s">
        <v>451</v>
      </c>
      <c r="E6" s="14" t="s">
        <v>452</v>
      </c>
      <c r="F6" s="14"/>
      <c r="G6" s="14"/>
      <c r="H6" s="14"/>
      <c r="I6" s="14"/>
    </row>
    <row r="7" spans="1:9" ht="25.5" x14ac:dyDescent="0.25">
      <c r="A7" s="13" t="s">
        <v>453</v>
      </c>
      <c r="B7" s="13" t="s">
        <v>454</v>
      </c>
      <c r="C7" s="13" t="s">
        <v>28</v>
      </c>
      <c r="D7" s="13" t="s">
        <v>455</v>
      </c>
      <c r="E7" s="19" t="s">
        <v>456</v>
      </c>
      <c r="F7" s="13"/>
      <c r="G7" s="13"/>
      <c r="H7" s="13"/>
      <c r="I7" s="13"/>
    </row>
    <row r="8" spans="1:9" x14ac:dyDescent="0.25">
      <c r="A8" s="14" t="s">
        <v>457</v>
      </c>
      <c r="B8" s="14" t="s">
        <v>454</v>
      </c>
      <c r="C8" s="14" t="s">
        <v>28</v>
      </c>
      <c r="D8" s="14" t="s">
        <v>458</v>
      </c>
      <c r="E8" s="14" t="s">
        <v>459</v>
      </c>
      <c r="F8" s="14"/>
      <c r="G8" s="14"/>
      <c r="H8" s="14"/>
      <c r="I8" s="14"/>
    </row>
    <row r="9" spans="1:9" ht="25.5" x14ac:dyDescent="0.25">
      <c r="A9" s="13" t="s">
        <v>460</v>
      </c>
      <c r="B9" s="13" t="s">
        <v>73</v>
      </c>
      <c r="C9" s="13" t="s">
        <v>34</v>
      </c>
      <c r="D9" s="13" t="s">
        <v>461</v>
      </c>
      <c r="E9" s="13" t="s">
        <v>462</v>
      </c>
      <c r="F9" s="13"/>
      <c r="G9" s="13"/>
      <c r="H9" s="13"/>
      <c r="I9" s="13"/>
    </row>
    <row r="10" spans="1:9" ht="25.5" x14ac:dyDescent="0.25">
      <c r="A10" s="14" t="s">
        <v>463</v>
      </c>
      <c r="B10" s="14" t="s">
        <v>464</v>
      </c>
      <c r="C10" s="14" t="s">
        <v>34</v>
      </c>
      <c r="D10" s="14" t="s">
        <v>465</v>
      </c>
      <c r="E10" s="14" t="s">
        <v>466</v>
      </c>
      <c r="F10" s="14"/>
      <c r="G10" s="14"/>
      <c r="H10" s="14"/>
      <c r="I10" s="14"/>
    </row>
    <row r="11" spans="1:9" ht="25.5" x14ac:dyDescent="0.25">
      <c r="A11" s="13" t="s">
        <v>467</v>
      </c>
      <c r="B11" s="13" t="s">
        <v>468</v>
      </c>
      <c r="C11" s="13" t="s">
        <v>62</v>
      </c>
      <c r="D11" s="13" t="s">
        <v>469</v>
      </c>
      <c r="E11" s="13" t="s">
        <v>470</v>
      </c>
      <c r="F11" s="13"/>
      <c r="G11" s="13"/>
      <c r="H11" s="13"/>
      <c r="I11" s="13"/>
    </row>
    <row r="12" spans="1:9" x14ac:dyDescent="0.25">
      <c r="A12" s="14" t="s">
        <v>471</v>
      </c>
      <c r="B12" s="14" t="s">
        <v>468</v>
      </c>
      <c r="C12" s="14" t="s">
        <v>62</v>
      </c>
      <c r="D12" s="14" t="s">
        <v>472</v>
      </c>
      <c r="E12" s="14" t="s">
        <v>473</v>
      </c>
      <c r="F12" s="14"/>
      <c r="G12" s="14"/>
      <c r="H12" s="14"/>
      <c r="I12" s="14"/>
    </row>
    <row r="13" spans="1:9" ht="25.5" x14ac:dyDescent="0.25">
      <c r="A13" s="13" t="s">
        <v>474</v>
      </c>
      <c r="B13" s="13" t="s">
        <v>475</v>
      </c>
      <c r="C13" s="13" t="s">
        <v>62</v>
      </c>
      <c r="D13" s="13" t="s">
        <v>476</v>
      </c>
      <c r="E13" s="13" t="s">
        <v>477</v>
      </c>
      <c r="F13" s="13"/>
      <c r="G13" s="13"/>
      <c r="H13" s="13"/>
      <c r="I13" s="13"/>
    </row>
    <row r="14" spans="1:9" ht="25.5" x14ac:dyDescent="0.25">
      <c r="A14" s="14" t="s">
        <v>478</v>
      </c>
      <c r="B14" s="14" t="s">
        <v>479</v>
      </c>
      <c r="C14" s="14" t="s">
        <v>44</v>
      </c>
      <c r="D14" s="14" t="s">
        <v>480</v>
      </c>
      <c r="E14" s="14" t="s">
        <v>481</v>
      </c>
      <c r="F14" s="14"/>
      <c r="G14" s="14"/>
      <c r="H14" s="14"/>
      <c r="I14" s="14"/>
    </row>
    <row r="15" spans="1:9" ht="25.5" x14ac:dyDescent="0.25">
      <c r="A15" s="13" t="s">
        <v>482</v>
      </c>
      <c r="B15" s="13" t="s">
        <v>479</v>
      </c>
      <c r="C15" s="13" t="s">
        <v>62</v>
      </c>
      <c r="D15" s="13" t="s">
        <v>483</v>
      </c>
      <c r="E15" s="19" t="s">
        <v>484</v>
      </c>
      <c r="F15" s="13"/>
      <c r="G15" s="13"/>
      <c r="H15" s="13"/>
      <c r="I15" s="13"/>
    </row>
    <row r="16" spans="1:9" ht="25.5" x14ac:dyDescent="0.25">
      <c r="A16" s="14" t="s">
        <v>485</v>
      </c>
      <c r="B16" s="14" t="s">
        <v>479</v>
      </c>
      <c r="C16" s="14" t="s">
        <v>44</v>
      </c>
      <c r="D16" s="14" t="s">
        <v>486</v>
      </c>
      <c r="E16" s="14" t="s">
        <v>487</v>
      </c>
      <c r="F16" s="14"/>
      <c r="G16" s="14"/>
      <c r="H16" s="14"/>
      <c r="I16" s="14"/>
    </row>
    <row r="17" spans="1:9" x14ac:dyDescent="0.25">
      <c r="A17" s="13" t="s">
        <v>488</v>
      </c>
      <c r="B17" s="13" t="s">
        <v>479</v>
      </c>
      <c r="C17" s="13" t="s">
        <v>53</v>
      </c>
      <c r="D17" s="13" t="s">
        <v>489</v>
      </c>
      <c r="E17" s="13" t="s">
        <v>490</v>
      </c>
      <c r="F17" s="13"/>
      <c r="G17" s="13"/>
      <c r="H17" s="13"/>
      <c r="I17" s="13"/>
    </row>
    <row r="18" spans="1:9" ht="25.5" x14ac:dyDescent="0.25">
      <c r="A18" s="14" t="s">
        <v>491</v>
      </c>
      <c r="B18" s="14" t="s">
        <v>492</v>
      </c>
      <c r="C18" s="14" t="s">
        <v>34</v>
      </c>
      <c r="D18" s="14" t="s">
        <v>493</v>
      </c>
      <c r="E18" s="14" t="s">
        <v>494</v>
      </c>
      <c r="F18" s="14"/>
      <c r="G18" s="14"/>
      <c r="H18" s="14"/>
      <c r="I18" s="14"/>
    </row>
    <row r="19" spans="1:9" ht="25.5" x14ac:dyDescent="0.25">
      <c r="A19" s="13" t="s">
        <v>495</v>
      </c>
      <c r="B19" s="13" t="s">
        <v>496</v>
      </c>
      <c r="C19" s="13" t="s">
        <v>62</v>
      </c>
      <c r="D19" s="13" t="s">
        <v>497</v>
      </c>
      <c r="E19" s="13" t="s">
        <v>498</v>
      </c>
      <c r="F19" s="13"/>
      <c r="G19" s="13"/>
      <c r="H19" s="13"/>
      <c r="I19" s="13"/>
    </row>
    <row r="20" spans="1:9" ht="25.5" x14ac:dyDescent="0.25">
      <c r="A20" s="14" t="s">
        <v>499</v>
      </c>
      <c r="B20" s="14" t="s">
        <v>496</v>
      </c>
      <c r="C20" s="14" t="s">
        <v>62</v>
      </c>
      <c r="D20" s="14" t="s">
        <v>500</v>
      </c>
      <c r="E20" s="14" t="s">
        <v>501</v>
      </c>
      <c r="F20" s="14"/>
      <c r="G20" s="14"/>
      <c r="H20" s="14"/>
      <c r="I20" s="14"/>
    </row>
    <row r="21" spans="1:9" ht="25.5" x14ac:dyDescent="0.25">
      <c r="A21" s="13" t="s">
        <v>502</v>
      </c>
      <c r="B21" s="13" t="s">
        <v>496</v>
      </c>
      <c r="C21" s="13" t="s">
        <v>62</v>
      </c>
      <c r="D21" s="13" t="s">
        <v>503</v>
      </c>
      <c r="E21" s="13" t="s">
        <v>504</v>
      </c>
      <c r="F21" s="13"/>
      <c r="G21" s="13"/>
      <c r="H21" s="13"/>
      <c r="I21" s="13"/>
    </row>
    <row r="22" spans="1:9" ht="25.5" x14ac:dyDescent="0.25">
      <c r="A22" s="14" t="s">
        <v>505</v>
      </c>
      <c r="B22" s="14" t="s">
        <v>496</v>
      </c>
      <c r="C22" s="14" t="s">
        <v>506</v>
      </c>
      <c r="D22" s="14" t="s">
        <v>507</v>
      </c>
      <c r="E22" s="19" t="s">
        <v>508</v>
      </c>
      <c r="F22" s="14"/>
      <c r="G22" s="14"/>
      <c r="H22" s="14"/>
      <c r="I22" s="14"/>
    </row>
    <row r="23" spans="1:9" ht="25.5" x14ac:dyDescent="0.25">
      <c r="A23" s="13" t="s">
        <v>509</v>
      </c>
      <c r="B23" s="13" t="s">
        <v>510</v>
      </c>
      <c r="C23" s="13" t="s">
        <v>34</v>
      </c>
      <c r="D23" s="13" t="s">
        <v>511</v>
      </c>
      <c r="E23" s="13" t="s">
        <v>512</v>
      </c>
      <c r="F23" s="13"/>
      <c r="G23" s="13"/>
      <c r="H23" s="13"/>
      <c r="I23" s="13"/>
    </row>
    <row r="24" spans="1:9" ht="25.5" x14ac:dyDescent="0.25">
      <c r="A24" s="14" t="s">
        <v>513</v>
      </c>
      <c r="B24" s="14" t="s">
        <v>510</v>
      </c>
      <c r="C24" s="14" t="s">
        <v>34</v>
      </c>
      <c r="D24" s="14" t="s">
        <v>514</v>
      </c>
      <c r="E24" s="14" t="s">
        <v>515</v>
      </c>
      <c r="F24" s="14"/>
      <c r="G24" s="14"/>
      <c r="H24" s="14"/>
      <c r="I24" s="14"/>
    </row>
    <row r="25" spans="1:9" ht="25.5" x14ac:dyDescent="0.25">
      <c r="A25" s="13" t="s">
        <v>516</v>
      </c>
      <c r="B25" s="13" t="s">
        <v>517</v>
      </c>
      <c r="C25" s="13" t="s">
        <v>62</v>
      </c>
      <c r="D25" s="13" t="s">
        <v>518</v>
      </c>
      <c r="E25" s="13" t="s">
        <v>519</v>
      </c>
      <c r="F25" s="13"/>
      <c r="G25" s="13"/>
      <c r="H25" s="13"/>
      <c r="I25" s="13"/>
    </row>
    <row r="26" spans="1:9" x14ac:dyDescent="0.25">
      <c r="A26" s="14" t="s">
        <v>520</v>
      </c>
      <c r="B26" s="14" t="s">
        <v>517</v>
      </c>
      <c r="C26" s="14" t="s">
        <v>34</v>
      </c>
      <c r="D26" s="14" t="s">
        <v>521</v>
      </c>
      <c r="E26" s="14" t="s">
        <v>522</v>
      </c>
      <c r="F26" s="14"/>
      <c r="G26" s="14"/>
      <c r="H26" s="14"/>
      <c r="I26" s="14"/>
    </row>
    <row r="27" spans="1:9" x14ac:dyDescent="0.25">
      <c r="A27" s="13" t="s">
        <v>523</v>
      </c>
      <c r="B27" s="13" t="s">
        <v>524</v>
      </c>
      <c r="C27" s="13" t="s">
        <v>62</v>
      </c>
      <c r="D27" s="13" t="s">
        <v>525</v>
      </c>
      <c r="E27" s="13" t="s">
        <v>526</v>
      </c>
      <c r="F27" s="13"/>
      <c r="G27" s="13"/>
      <c r="H27" s="13"/>
      <c r="I27" s="13"/>
    </row>
    <row r="28" spans="1:9" ht="25.5" x14ac:dyDescent="0.25">
      <c r="A28" s="14" t="s">
        <v>527</v>
      </c>
      <c r="B28" s="14" t="s">
        <v>524</v>
      </c>
      <c r="C28" s="14" t="s">
        <v>62</v>
      </c>
      <c r="D28" s="14" t="s">
        <v>528</v>
      </c>
      <c r="E28" s="19" t="s">
        <v>529</v>
      </c>
      <c r="F28" s="14"/>
      <c r="G28" s="14"/>
      <c r="H28" s="14"/>
      <c r="I28" s="14"/>
    </row>
    <row r="29" spans="1:9" ht="25.5" x14ac:dyDescent="0.25">
      <c r="A29" s="13" t="s">
        <v>530</v>
      </c>
      <c r="B29" s="13" t="s">
        <v>524</v>
      </c>
      <c r="C29" s="13" t="s">
        <v>34</v>
      </c>
      <c r="D29" s="13" t="s">
        <v>531</v>
      </c>
      <c r="E29" s="13" t="s">
        <v>532</v>
      </c>
      <c r="F29" s="13"/>
      <c r="G29" s="13"/>
      <c r="H29" s="13"/>
      <c r="I29" s="13"/>
    </row>
    <row r="30" spans="1:9" ht="25.5" x14ac:dyDescent="0.25">
      <c r="A30" s="14" t="s">
        <v>533</v>
      </c>
      <c r="B30" s="14" t="s">
        <v>524</v>
      </c>
      <c r="C30" s="14" t="s">
        <v>34</v>
      </c>
      <c r="D30" s="14" t="s">
        <v>534</v>
      </c>
      <c r="E30" s="14" t="s">
        <v>535</v>
      </c>
      <c r="F30" s="14"/>
      <c r="G30" s="14"/>
      <c r="H30" s="14"/>
      <c r="I30" s="14"/>
    </row>
    <row r="31" spans="1:9" ht="25.5" x14ac:dyDescent="0.25">
      <c r="A31" s="13" t="s">
        <v>536</v>
      </c>
      <c r="B31" s="13" t="s">
        <v>524</v>
      </c>
      <c r="C31" s="13" t="s">
        <v>537</v>
      </c>
      <c r="D31" s="13" t="s">
        <v>538</v>
      </c>
      <c r="E31" s="13" t="s">
        <v>539</v>
      </c>
      <c r="F31" s="13"/>
      <c r="G31" s="13"/>
      <c r="H31" s="13"/>
      <c r="I31" s="13"/>
    </row>
    <row r="32" spans="1:9" ht="25.5" x14ac:dyDescent="0.25">
      <c r="A32" s="14" t="s">
        <v>540</v>
      </c>
      <c r="B32" s="14" t="s">
        <v>524</v>
      </c>
      <c r="C32" s="14" t="s">
        <v>34</v>
      </c>
      <c r="D32" s="14" t="s">
        <v>541</v>
      </c>
      <c r="E32" s="14" t="s">
        <v>542</v>
      </c>
      <c r="F32" s="14"/>
      <c r="G32" s="14"/>
      <c r="H32" s="14"/>
      <c r="I32" s="14"/>
    </row>
    <row r="33" spans="1:9" ht="25.5" x14ac:dyDescent="0.25">
      <c r="A33" s="13" t="s">
        <v>543</v>
      </c>
      <c r="B33" s="13" t="s">
        <v>544</v>
      </c>
      <c r="C33" s="13" t="s">
        <v>62</v>
      </c>
      <c r="D33" s="13" t="s">
        <v>545</v>
      </c>
      <c r="E33" s="13" t="s">
        <v>546</v>
      </c>
      <c r="F33" s="13"/>
      <c r="G33" s="13"/>
      <c r="H33" s="13"/>
      <c r="I33" s="13"/>
    </row>
    <row r="34" spans="1:9" ht="25.5" x14ac:dyDescent="0.25">
      <c r="A34" s="14" t="s">
        <v>547</v>
      </c>
      <c r="B34" s="14" t="s">
        <v>544</v>
      </c>
      <c r="C34" s="14" t="s">
        <v>62</v>
      </c>
      <c r="D34" s="14" t="s">
        <v>548</v>
      </c>
      <c r="E34" s="14" t="s">
        <v>549</v>
      </c>
      <c r="F34" s="14"/>
      <c r="G34" s="14"/>
      <c r="H34" s="14"/>
      <c r="I34" s="14"/>
    </row>
    <row r="35" spans="1:9" ht="25.5" x14ac:dyDescent="0.25">
      <c r="A35" s="13" t="s">
        <v>550</v>
      </c>
      <c r="B35" s="13" t="s">
        <v>544</v>
      </c>
      <c r="C35" s="13" t="s">
        <v>34</v>
      </c>
      <c r="D35" s="13" t="s">
        <v>551</v>
      </c>
      <c r="E35" s="13" t="s">
        <v>552</v>
      </c>
      <c r="F35" s="13"/>
      <c r="G35" s="13"/>
      <c r="H35" s="13"/>
      <c r="I35" s="13"/>
    </row>
    <row r="36" spans="1:9" ht="25.5" x14ac:dyDescent="0.25">
      <c r="A36" s="14" t="s">
        <v>553</v>
      </c>
      <c r="B36" s="14" t="s">
        <v>544</v>
      </c>
      <c r="C36" s="14" t="s">
        <v>34</v>
      </c>
      <c r="D36" s="14" t="s">
        <v>554</v>
      </c>
      <c r="E36" s="14" t="s">
        <v>555</v>
      </c>
      <c r="F36" s="14"/>
      <c r="G36" s="14"/>
      <c r="H36" s="14"/>
      <c r="I36" s="14"/>
    </row>
    <row r="37" spans="1:9" ht="25.5" x14ac:dyDescent="0.25">
      <c r="A37" s="13" t="s">
        <v>556</v>
      </c>
      <c r="B37" s="13" t="s">
        <v>544</v>
      </c>
      <c r="C37" s="13" t="s">
        <v>34</v>
      </c>
      <c r="D37" s="13" t="s">
        <v>557</v>
      </c>
      <c r="E37" s="13" t="s">
        <v>558</v>
      </c>
      <c r="F37" s="13"/>
      <c r="G37" s="13"/>
      <c r="H37" s="13"/>
      <c r="I37" s="13"/>
    </row>
    <row r="38" spans="1:9" ht="25.5" x14ac:dyDescent="0.25">
      <c r="A38" s="14" t="s">
        <v>559</v>
      </c>
      <c r="B38" s="14" t="s">
        <v>560</v>
      </c>
      <c r="C38" s="14" t="s">
        <v>28</v>
      </c>
      <c r="D38" s="14" t="s">
        <v>561</v>
      </c>
      <c r="E38" s="14" t="s">
        <v>562</v>
      </c>
      <c r="F38" s="14"/>
      <c r="G38" s="14"/>
      <c r="H38" s="14"/>
      <c r="I38" s="14"/>
    </row>
    <row r="39" spans="1:9" ht="25.5" x14ac:dyDescent="0.25">
      <c r="A39" s="13" t="s">
        <v>563</v>
      </c>
      <c r="B39" s="13" t="s">
        <v>564</v>
      </c>
      <c r="C39" s="13" t="s">
        <v>44</v>
      </c>
      <c r="D39" s="13" t="s">
        <v>565</v>
      </c>
      <c r="E39" s="13" t="s">
        <v>566</v>
      </c>
      <c r="F39" s="13"/>
      <c r="G39" s="13"/>
      <c r="H39" s="13"/>
      <c r="I39" s="13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07A1E"/>
  </sheetPr>
  <dimension ref="A1:B10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4" customWidth="1"/>
  </cols>
  <sheetData>
    <row r="1" spans="1:2" ht="18" x14ac:dyDescent="0.25">
      <c r="A1" s="17" t="s">
        <v>567</v>
      </c>
    </row>
    <row r="3" spans="1:2" x14ac:dyDescent="0.25">
      <c r="A3" s="20" t="s">
        <v>568</v>
      </c>
      <c r="B3" s="21">
        <f>COUNTA('OQ Run Sheet'!A5:A39)</f>
        <v>35</v>
      </c>
    </row>
    <row r="4" spans="1:2" x14ac:dyDescent="0.25">
      <c r="A4" s="22" t="s">
        <v>569</v>
      </c>
      <c r="B4" s="21">
        <f>COUNTIF('OQ Run Sheet'!F5:F39,"Pass")</f>
        <v>0</v>
      </c>
    </row>
    <row r="5" spans="1:2" x14ac:dyDescent="0.25">
      <c r="A5" s="22" t="s">
        <v>570</v>
      </c>
      <c r="B5" s="21">
        <f>COUNTIF('OQ Run Sheet'!F5:F39,"Fail")</f>
        <v>0</v>
      </c>
    </row>
    <row r="6" spans="1:2" x14ac:dyDescent="0.25">
      <c r="A6" s="22" t="s">
        <v>571</v>
      </c>
      <c r="B6" s="21">
        <f>COUNTBLANK('OQ Run Sheet'!F5:F39)</f>
        <v>35</v>
      </c>
    </row>
    <row r="8" spans="1:2" x14ac:dyDescent="0.25">
      <c r="A8" s="20" t="s">
        <v>572</v>
      </c>
      <c r="B8" s="23"/>
    </row>
    <row r="9" spans="1:2" x14ac:dyDescent="0.25">
      <c r="A9" s="24" t="s">
        <v>573</v>
      </c>
    </row>
    <row r="10" spans="1:2" x14ac:dyDescent="0.25">
      <c r="A10" s="24" t="s">
        <v>574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 FIRST</vt:lpstr>
      <vt:lpstr>Users &amp; Roles</vt:lpstr>
      <vt:lpstr>Suppliers</vt:lpstr>
      <vt:lpstr>Supplier Quals</vt:lpstr>
      <vt:lpstr>Inspections</vt:lpstr>
      <vt:lpstr>Inventory</vt:lpstr>
      <vt:lpstr>Lots</vt:lpstr>
      <vt:lpstr>Recipes</vt:lpstr>
      <vt:lpstr>Batches</vt:lpstr>
      <vt:lpstr>Test Results (COAs)</vt:lpstr>
      <vt:lpstr>Quality Events</vt:lpstr>
      <vt:lpstr>OQ Run Sheet</vt:lpstr>
      <vt:lpstr>OQ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Schultz</cp:lastModifiedBy>
  <cp:revision>0</cp:revision>
  <dcterms:created xsi:type="dcterms:W3CDTF">2026-06-22T13:06:02Z</dcterms:created>
  <dcterms:modified xsi:type="dcterms:W3CDTF">2026-06-24T01:33:32Z</dcterms:modified>
  <dc:language>en-US</dc:language>
</cp:coreProperties>
</file>